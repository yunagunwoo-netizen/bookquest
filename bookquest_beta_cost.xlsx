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대시보드" sheetId="1" state="visible" r:id="rId3"/>
    <sheet name="가정" sheetId="2" state="visible" r:id="rId4"/>
    <sheet name="호출량" sheetId="3" state="visible" r:id="rId5"/>
    <sheet name="시나리오" sheetId="4" state="visible" r:id="rId6"/>
    <sheet name="민감도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<sst xmlns="http://schemas.openxmlformats.org/spreadsheetml/2006/main" count="161" uniqueCount="153">
  <si>
    <r>
      <rPr>
        <b val="true"/>
        <sz val="16"/>
        <color rgb="FF1F4E79"/>
        <rFont val="Arial"/>
        <family val="0"/>
        <charset val="1"/>
      </rPr>
      <t xml:space="preserve">BookQuest 100</t>
    </r>
    <r>
      <rPr>
        <b val="true"/>
        <sz val="16"/>
        <color rgb="FF1F4E79"/>
        <rFont val="DejaVu Sans"/>
        <family val="2"/>
      </rPr>
      <t xml:space="preserve">명 베타 </t>
    </r>
    <r>
      <rPr>
        <b val="true"/>
        <sz val="16"/>
        <color rgb="FF1F4E79"/>
        <rFont val="Arial"/>
        <family val="0"/>
        <charset val="1"/>
      </rPr>
      <t xml:space="preserve">12</t>
    </r>
    <r>
      <rPr>
        <b val="true"/>
        <sz val="16"/>
        <color rgb="FF1F4E79"/>
        <rFont val="DejaVu Sans"/>
        <family val="2"/>
      </rPr>
      <t xml:space="preserve">주 비용 산정 — 대시보드</t>
    </r>
  </si>
  <si>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DejaVu Sans"/>
        <family val="2"/>
      </rPr>
      <t xml:space="preserve">파란 숫자 </t>
    </r>
    <r>
      <rPr>
        <i val="true"/>
        <sz val="9"/>
        <color rgb="FF808080"/>
        <rFont val="Arial"/>
        <family val="0"/>
        <charset val="1"/>
      </rPr>
      <t xml:space="preserve">= </t>
    </r>
    <r>
      <rPr>
        <i val="true"/>
        <sz val="9"/>
        <color rgb="FF808080"/>
        <rFont val="DejaVu Sans"/>
        <family val="2"/>
      </rPr>
      <t xml:space="preserve">수정 가능 </t>
    </r>
    <r>
      <rPr>
        <i val="true"/>
        <sz val="9"/>
        <color rgb="FF808080"/>
        <rFont val="Arial"/>
        <family val="0"/>
        <charset val="1"/>
      </rPr>
      <t xml:space="preserve">/ </t>
    </r>
    <r>
      <rPr>
        <i val="true"/>
        <sz val="9"/>
        <color rgb="FF808080"/>
        <rFont val="DejaVu Sans"/>
        <family val="2"/>
      </rPr>
      <t xml:space="preserve">검정 </t>
    </r>
    <r>
      <rPr>
        <i val="true"/>
        <sz val="9"/>
        <color rgb="FF808080"/>
        <rFont val="Arial"/>
        <family val="0"/>
        <charset val="1"/>
      </rPr>
      <t xml:space="preserve">= </t>
    </r>
    <r>
      <rPr>
        <i val="true"/>
        <sz val="9"/>
        <color rgb="FF808080"/>
        <rFont val="DejaVu Sans"/>
        <family val="2"/>
      </rPr>
      <t xml:space="preserve">수식 </t>
    </r>
    <r>
      <rPr>
        <i val="true"/>
        <sz val="9"/>
        <color rgb="FF808080"/>
        <rFont val="Arial"/>
        <family val="0"/>
        <charset val="1"/>
      </rPr>
      <t xml:space="preserve">/ </t>
    </r>
    <r>
      <rPr>
        <i val="true"/>
        <sz val="9"/>
        <color rgb="FF808080"/>
        <rFont val="DejaVu Sans"/>
        <family val="2"/>
      </rPr>
      <t xml:space="preserve">초록 </t>
    </r>
    <r>
      <rPr>
        <i val="true"/>
        <sz val="9"/>
        <color rgb="FF808080"/>
        <rFont val="Arial"/>
        <family val="0"/>
        <charset val="1"/>
      </rPr>
      <t xml:space="preserve">= </t>
    </r>
    <r>
      <rPr>
        <i val="true"/>
        <sz val="9"/>
        <color rgb="FF808080"/>
        <rFont val="DejaVu Sans"/>
        <family val="2"/>
      </rPr>
      <t xml:space="preserve">다른 시트 참조</t>
    </r>
    <r>
      <rPr>
        <i val="true"/>
        <sz val="9"/>
        <color rgb="FF808080"/>
        <rFont val="Arial"/>
        <family val="0"/>
        <charset val="1"/>
      </rPr>
      <t xml:space="preserve">)</t>
    </r>
  </si>
  <si>
    <t xml:space="preserve">📌 핵심 가정</t>
  </si>
  <si>
    <r>
      <rPr>
        <sz val="10"/>
        <rFont val="DejaVu Sans"/>
        <family val="2"/>
      </rPr>
      <t xml:space="preserve">베타 테스터 수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명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</si>
  <si>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베타 기간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주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</si>
  <si>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활성 유저 비율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실제 쓰는 사람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</si>
  <si>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주당 활성 유저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인 세션 수</t>
    </r>
  </si>
  <si>
    <r>
      <rPr>
        <sz val="10"/>
        <rFont val="DejaVu Sans"/>
        <family val="2"/>
      </rPr>
      <t xml:space="preserve">활성 유저 수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계산</t>
    </r>
    <r>
      <rPr>
        <sz val="10"/>
        <rFont val="Arial"/>
        <family val="0"/>
        <charset val="1"/>
      </rPr>
      <t xml:space="preserve">)</t>
    </r>
  </si>
  <si>
    <r>
      <rPr>
        <b val="true"/>
        <sz val="12"/>
        <color rgb="FF1F4E79"/>
        <rFont val="DejaVu Sans"/>
        <family val="2"/>
      </rPr>
      <t xml:space="preserve">💰 시나리오별 </t>
    </r>
    <r>
      <rPr>
        <b val="true"/>
        <sz val="12"/>
        <color rgb="FF1F4E79"/>
        <rFont val="Arial"/>
        <family val="0"/>
        <charset val="1"/>
      </rPr>
      <t xml:space="preserve">12</t>
    </r>
    <r>
      <rPr>
        <b val="true"/>
        <sz val="12"/>
        <color rgb="FF1F4E79"/>
        <rFont val="DejaVu Sans"/>
        <family val="2"/>
      </rPr>
      <t xml:space="preserve">주 총 비용 비교 </t>
    </r>
    <r>
      <rPr>
        <b val="true"/>
        <sz val="12"/>
        <color rgb="FF1F4E79"/>
        <rFont val="Arial"/>
        <family val="0"/>
        <charset val="1"/>
      </rPr>
      <t xml:space="preserve">(USD)</t>
    </r>
  </si>
  <si>
    <t xml:space="preserve">항목</t>
  </si>
  <si>
    <r>
      <rPr>
        <b val="true"/>
        <sz val="11"/>
        <color rgb="FFFFFFFF"/>
        <rFont val="Arial"/>
        <family val="0"/>
        <charset val="1"/>
      </rPr>
      <t xml:space="preserve">Sonnet 4.5 (</t>
    </r>
    <r>
      <rPr>
        <b val="true"/>
        <sz val="11"/>
        <color rgb="FFFFFFFF"/>
        <rFont val="DejaVu Sans"/>
        <family val="2"/>
      </rPr>
      <t xml:space="preserve">고품질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</si>
  <si>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Haiku 4.5 (</t>
    </r>
    <r>
      <rPr>
        <b val="true"/>
        <sz val="11"/>
        <color rgb="FFFFFFFF"/>
        <rFont val="DejaVu Sans"/>
        <family val="2"/>
      </rPr>
      <t xml:space="preserve">저렴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</si>
  <si>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Mixed (</t>
    </r>
    <r>
      <rPr>
        <b val="true"/>
        <sz val="11"/>
        <color rgb="FFFFFFFF"/>
        <rFont val="DejaVu Sans"/>
        <family val="2"/>
      </rPr>
      <t xml:space="preserve">권장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</si>
  <si>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AI API (Claude)</t>
  </si>
  <si>
    <t xml:space="preserve">TTS (Google)</t>
  </si>
  <si>
    <t xml:space="preserve">Firebase (Functions+Firestore)</t>
  </si>
  <si>
    <r>
      <rPr>
        <sz val="10"/>
        <rFont val="DejaVu Sans"/>
        <family val="2"/>
      </rPr>
      <t xml:space="preserve">기타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예비비 </t>
    </r>
    <r>
      <rPr>
        <sz val="10"/>
        <rFont val="Arial"/>
        <family val="0"/>
        <charset val="1"/>
      </rPr>
      <t xml:space="preserve">10%)</t>
    </r>
  </si>
  <si>
    <r>
      <rPr>
        <b val="true"/>
        <sz val="11"/>
        <rFont val="DejaVu Sans"/>
        <family val="2"/>
      </rPr>
      <t xml:space="preserve">합계 </t>
    </r>
    <r>
      <rPr>
        <b val="true"/>
        <sz val="11"/>
        <rFont val="Arial"/>
        <family val="0"/>
        <charset val="1"/>
      </rPr>
      <t xml:space="preserve">(12</t>
    </r>
    <r>
      <rPr>
        <b val="true"/>
        <sz val="11"/>
        <rFont val="DejaVu Sans"/>
        <family val="2"/>
      </rPr>
      <t xml:space="preserve">주</t>
    </r>
    <r>
      <rPr>
        <b val="true"/>
        <sz val="11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</si>
  <si>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활성 유저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인당 월 비용</t>
    </r>
  </si>
  <si>
    <r>
      <rPr>
        <sz val="10"/>
        <rFont val="DejaVu Sans"/>
        <family val="2"/>
      </rPr>
      <t xml:space="preserve">합계 </t>
    </r>
    <r>
      <rPr>
        <sz val="10"/>
        <rFont val="Arial"/>
        <family val="0"/>
        <charset val="1"/>
      </rPr>
      <t xml:space="preserve">(KRW, 1350</t>
    </r>
    <r>
      <rPr>
        <sz val="10"/>
        <rFont val="DejaVu Sans"/>
        <family val="2"/>
      </rPr>
      <t xml:space="preserve">원</t>
    </r>
    <r>
      <rPr>
        <sz val="10"/>
        <rFont val="Arial"/>
        <family val="0"/>
        <charset val="1"/>
      </rPr>
      <t xml:space="preserve">/$ </t>
    </r>
    <r>
      <rPr>
        <sz val="10"/>
        <rFont val="DejaVu Sans"/>
        <family val="2"/>
      </rPr>
      <t xml:space="preserve">기준</t>
    </r>
    <r>
      <rPr>
        <sz val="10"/>
        <rFont val="Arial"/>
        <family val="0"/>
        <charset val="1"/>
      </rPr>
      <t xml:space="preserve">)</t>
    </r>
  </si>
  <si>
    <t xml:space="preserve">✅ 권장 사항</t>
  </si>
  <si>
    <r>
      <rPr>
        <sz val="10"/>
        <rFont val="Arial"/>
        <family val="0"/>
        <charset val="1"/>
      </rPr>
      <t xml:space="preserve">1. Mixed </t>
    </r>
    <r>
      <rPr>
        <sz val="10"/>
        <rFont val="DejaVu Sans"/>
        <family val="2"/>
      </rPr>
      <t xml:space="preserve">시나리오를 기본으로 권장</t>
    </r>
    <r>
      <rPr>
        <sz val="10"/>
        <rFont val="Arial"/>
        <family val="0"/>
        <charset val="1"/>
      </rPr>
      <t xml:space="preserve">: askBook(</t>
    </r>
    <r>
      <rPr>
        <sz val="10"/>
        <rFont val="DejaVu Sans"/>
        <family val="2"/>
      </rPr>
      <t xml:space="preserve">긴 문맥</t>
    </r>
    <r>
      <rPr>
        <sz val="10"/>
        <rFont val="Arial"/>
        <family val="0"/>
        <charset val="1"/>
      </rPr>
      <t xml:space="preserve">, Q&amp;A </t>
    </r>
    <r>
      <rPr>
        <sz val="10"/>
        <rFont val="DejaVu Sans"/>
        <family val="2"/>
      </rPr>
      <t xml:space="preserve">품질 중요</t>
    </r>
    <r>
      <rPr>
        <sz val="10"/>
        <rFont val="Arial"/>
        <family val="0"/>
        <charset val="1"/>
      </rPr>
      <t xml:space="preserve">)</t>
    </r>
    <r>
      <rPr>
        <sz val="10"/>
        <rFont val="DejaVu Sans"/>
        <family val="2"/>
      </rPr>
      <t xml:space="preserve">만 </t>
    </r>
    <r>
      <rPr>
        <sz val="10"/>
        <rFont val="Arial"/>
        <family val="0"/>
        <charset val="1"/>
      </rPr>
      <t xml:space="preserve">Sonnet, discussionCoach/recommendBooks</t>
    </r>
    <r>
      <rPr>
        <sz val="10"/>
        <rFont val="DejaVu Sans"/>
        <family val="2"/>
      </rPr>
      <t xml:space="preserve">는 </t>
    </r>
    <r>
      <rPr>
        <sz val="10"/>
        <rFont val="Arial"/>
        <family val="0"/>
        <charset val="1"/>
      </rPr>
      <t xml:space="preserve">Haiku</t>
    </r>
    <r>
      <rPr>
        <sz val="10"/>
        <rFont val="DejaVu Sans"/>
        <family val="2"/>
      </rPr>
      <t xml:space="preserve">로</t>
    </r>
  </si>
  <si>
    <r>
      <rPr>
        <sz val="10"/>
        <rFont val="Arial"/>
        <family val="0"/>
        <charset val="1"/>
      </rPr>
      <t xml:space="preserve">2. </t>
    </r>
    <r>
      <rPr>
        <sz val="10"/>
        <rFont val="DejaVu Sans"/>
        <family val="2"/>
      </rPr>
      <t xml:space="preserve">현재 모델이 어떤지 먼저 </t>
    </r>
    <r>
      <rPr>
        <sz val="10"/>
        <rFont val="Arial"/>
        <family val="0"/>
        <charset val="1"/>
      </rPr>
      <t xml:space="preserve">Cloud Functions </t>
    </r>
    <r>
      <rPr>
        <sz val="10"/>
        <rFont val="DejaVu Sans"/>
        <family val="2"/>
      </rPr>
      <t xml:space="preserve">코드에서 확인 필요 </t>
    </r>
    <r>
      <rPr>
        <sz val="10"/>
        <rFont val="Arial"/>
        <family val="0"/>
        <charset val="1"/>
      </rPr>
      <t xml:space="preserve">(Sonnet</t>
    </r>
    <r>
      <rPr>
        <sz val="10"/>
        <rFont val="DejaVu Sans"/>
        <family val="2"/>
      </rPr>
      <t xml:space="preserve">이면 </t>
    </r>
    <r>
      <rPr>
        <sz val="10"/>
        <rFont val="Arial"/>
        <family val="0"/>
        <charset val="1"/>
      </rPr>
      <t xml:space="preserve">Haiku</t>
    </r>
    <r>
      <rPr>
        <sz val="10"/>
        <rFont val="DejaVu Sans"/>
        <family val="2"/>
      </rPr>
      <t xml:space="preserve">로 바꿀 여지 큼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</si>
  <si>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3. TTS </t>
    </r>
    <r>
      <rPr>
        <sz val="10"/>
        <rFont val="DejaVu Sans"/>
        <family val="2"/>
      </rPr>
      <t xml:space="preserve">비용이 의외로 큼 → </t>
    </r>
    <r>
      <rPr>
        <sz val="10"/>
        <rFont val="Arial"/>
        <family val="0"/>
        <charset val="1"/>
      </rPr>
      <t xml:space="preserve">Google Standard voice(WaveNet 1/4</t>
    </r>
    <r>
      <rPr>
        <sz val="10"/>
        <rFont val="DejaVu Sans"/>
        <family val="2"/>
      </rPr>
      <t xml:space="preserve">가격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또는 브라우저 내장 </t>
    </r>
    <r>
      <rPr>
        <sz val="10"/>
        <rFont val="Arial"/>
        <family val="0"/>
        <charset val="1"/>
      </rPr>
      <t xml:space="preserve">TTS </t>
    </r>
    <r>
      <rPr>
        <sz val="10"/>
        <rFont val="DejaVu Sans"/>
        <family val="2"/>
      </rPr>
      <t xml:space="preserve">폴백 활용</t>
    </r>
  </si>
  <si>
    <r>
      <rPr>
        <sz val="10"/>
        <rFont val="Arial"/>
        <family val="0"/>
        <charset val="1"/>
      </rPr>
      <t xml:space="preserve">4. Firebase </t>
    </r>
    <r>
      <rPr>
        <sz val="10"/>
        <rFont val="DejaVu Sans"/>
        <family val="2"/>
      </rPr>
      <t xml:space="preserve">무료 티어만으로 </t>
    </r>
    <r>
      <rPr>
        <sz val="10"/>
        <rFont val="Arial"/>
        <family val="0"/>
        <charset val="1"/>
      </rPr>
      <t xml:space="preserve">Functions/Firestore</t>
    </r>
    <r>
      <rPr>
        <sz val="10"/>
        <rFont val="DejaVu Sans"/>
        <family val="2"/>
      </rPr>
      <t xml:space="preserve">는 </t>
    </r>
    <r>
      <rPr>
        <sz val="10"/>
        <rFont val="Arial"/>
        <family val="0"/>
        <charset val="1"/>
      </rPr>
      <t xml:space="preserve">100</t>
    </r>
    <r>
      <rPr>
        <sz val="10"/>
        <rFont val="DejaVu Sans"/>
        <family val="2"/>
      </rPr>
      <t xml:space="preserve">명 베타 충분히 커버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초과 시 </t>
    </r>
    <r>
      <rPr>
        <sz val="10"/>
        <rFont val="Arial"/>
        <family val="0"/>
        <charset val="1"/>
      </rPr>
      <t xml:space="preserve">Blaze </t>
    </r>
    <r>
      <rPr>
        <sz val="10"/>
        <rFont val="DejaVu Sans"/>
        <family val="2"/>
      </rPr>
      <t xml:space="preserve">요금제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</si>
  <si>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5. </t>
    </r>
    <r>
      <rPr>
        <sz val="10"/>
        <rFont val="DejaVu Sans"/>
        <family val="2"/>
      </rPr>
      <t xml:space="preserve">베타 마지막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주는 활성도가 떨어지는 경향 → 실제 비용은 이보다 </t>
    </r>
    <r>
      <rPr>
        <sz val="10"/>
        <rFont val="Arial"/>
        <family val="0"/>
        <charset val="1"/>
      </rPr>
      <t xml:space="preserve">10~20% </t>
    </r>
    <r>
      <rPr>
        <sz val="10"/>
        <rFont val="DejaVu Sans"/>
        <family val="2"/>
      </rPr>
      <t xml:space="preserve">낮을 가능성</t>
    </r>
  </si>
  <si>
    <r>
      <rPr>
        <sz val="10"/>
        <rFont val="Arial"/>
        <family val="0"/>
        <charset val="1"/>
      </rPr>
      <t xml:space="preserve">6. </t>
    </r>
    <r>
      <rPr>
        <sz val="10"/>
        <rFont val="DejaVu Sans"/>
        <family val="2"/>
      </rPr>
      <t xml:space="preserve">이 모델은 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보통 사용</t>
    </r>
    <r>
      <rPr>
        <sz val="10"/>
        <rFont val="Arial"/>
        <family val="0"/>
        <charset val="1"/>
      </rPr>
      <t xml:space="preserve">' </t>
    </r>
    <r>
      <rPr>
        <sz val="10"/>
        <rFont val="DejaVu Sans"/>
        <family val="2"/>
      </rPr>
      <t xml:space="preserve">가정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하드코어 유저가 많으면 민감도 시트에서 </t>
    </r>
    <r>
      <rPr>
        <sz val="10"/>
        <rFont val="Arial"/>
        <family val="0"/>
        <charset val="1"/>
      </rPr>
      <t xml:space="preserve">±50% </t>
    </r>
    <r>
      <rPr>
        <sz val="10"/>
        <rFont val="DejaVu Sans"/>
        <family val="2"/>
      </rPr>
      <t xml:space="preserve">시나리오 참고</t>
    </r>
  </si>
  <si>
    <r>
      <rPr>
        <b val="true"/>
        <sz val="16"/>
        <color rgb="FF1F4E79"/>
        <rFont val="DejaVu Sans"/>
        <family val="2"/>
      </rPr>
      <t xml:space="preserve">가정 </t>
    </r>
    <r>
      <rPr>
        <b val="true"/>
        <sz val="16"/>
        <color rgb="FF1F4E79"/>
        <rFont val="Arial"/>
        <family val="0"/>
        <charset val="1"/>
      </rPr>
      <t xml:space="preserve">(</t>
    </r>
    <r>
      <rPr>
        <b val="true"/>
        <sz val="16"/>
        <color rgb="FF1F4E79"/>
        <rFont val="DejaVu Sans"/>
        <family val="2"/>
      </rPr>
      <t xml:space="preserve">파란 숫자만 수정하세요</t>
    </r>
    <r>
      <rPr>
        <b val="true"/>
        <sz val="16"/>
        <color rgb="FF1F4E79"/>
        <rFont val="Arial"/>
        <family val="0"/>
        <charset val="1"/>
      </rPr>
      <t xml:space="preserve">)</t>
    </r>
  </si>
  <si>
    <r>
      <rPr>
        <b val="true"/>
        <sz val="12"/>
        <color rgb="FF1F4E79"/>
        <rFont val="DejaVu Sans"/>
        <family val="2"/>
      </rPr>
      <t xml:space="preserve">💵 모델별 가격 </t>
    </r>
    <r>
      <rPr>
        <b val="true"/>
        <sz val="12"/>
        <color rgb="FF1F4E79"/>
        <rFont val="Arial"/>
        <family val="0"/>
        <charset val="1"/>
      </rPr>
      <t xml:space="preserve">(USD per 1M tokens)</t>
    </r>
  </si>
  <si>
    <t xml:space="preserve">모델</t>
  </si>
  <si>
    <r>
      <rPr>
        <b val="true"/>
        <sz val="11"/>
        <color rgb="FFFFFFFF"/>
        <rFont val="DejaVu Sans"/>
        <family val="2"/>
      </rPr>
      <t xml:space="preserve">입력 </t>
    </r>
    <r>
      <rPr>
        <b val="true"/>
        <sz val="11"/>
        <color rgb="FFFFFFFF"/>
        <rFont val="Arial"/>
        <family val="0"/>
        <charset val="1"/>
      </rPr>
      <t xml:space="preserve">($/MTok)</t>
    </r>
  </si>
  <si>
    <r>
      <rPr>
        <b val="true"/>
        <sz val="11"/>
        <color rgb="FFFFFFFF"/>
        <rFont val="DejaVu Sans"/>
        <family val="2"/>
      </rPr>
      <t xml:space="preserve">출력 </t>
    </r>
    <r>
      <rPr>
        <b val="true"/>
        <sz val="11"/>
        <color rgb="FFFFFFFF"/>
        <rFont val="Arial"/>
        <family val="0"/>
        <charset val="1"/>
      </rPr>
      <t xml:space="preserve">($/MTok)</t>
    </r>
  </si>
  <si>
    <t xml:space="preserve">비고</t>
  </si>
  <si>
    <t xml:space="preserve">Claude Sonnet 4.5</t>
  </si>
  <si>
    <r>
      <rPr>
        <i val="true"/>
        <sz val="9"/>
        <color rgb="FF808080"/>
        <rFont val="DejaVu Sans"/>
        <family val="2"/>
      </rPr>
      <t xml:space="preserve">균형형</t>
    </r>
    <r>
      <rPr>
        <i val="true"/>
        <sz val="9"/>
        <color rgb="FF808080"/>
        <rFont val="Arial"/>
        <family val="0"/>
        <charset val="1"/>
      </rPr>
      <t xml:space="preserve">·</t>
    </r>
    <r>
      <rPr>
        <i val="true"/>
        <sz val="9"/>
        <color rgb="FF808080"/>
        <rFont val="DejaVu Sans"/>
        <family val="2"/>
      </rPr>
      <t xml:space="preserve">토론</t>
    </r>
    <r>
      <rPr>
        <i val="true"/>
        <sz val="9"/>
        <color rgb="FF808080"/>
        <rFont val="Arial"/>
        <family val="0"/>
        <charset val="1"/>
      </rPr>
      <t xml:space="preserve">/Q&amp;A </t>
    </r>
    <r>
      <rPr>
        <i val="true"/>
        <sz val="9"/>
        <color rgb="FF808080"/>
        <rFont val="DejaVu Sans"/>
        <family val="2"/>
      </rPr>
      <t xml:space="preserve">고품질</t>
    </r>
  </si>
  <si>
    <t xml:space="preserve">Claude Haiku 4.5</t>
  </si>
  <si>
    <r>
      <rPr>
        <i val="true"/>
        <sz val="9"/>
        <color rgb="FF808080"/>
        <rFont val="DejaVu Sans"/>
        <family val="2"/>
      </rPr>
      <t xml:space="preserve">저렴</t>
    </r>
    <r>
      <rPr>
        <i val="true"/>
        <sz val="9"/>
        <color rgb="FF808080"/>
        <rFont val="Arial"/>
        <family val="0"/>
        <charset val="1"/>
      </rPr>
      <t xml:space="preserve">·</t>
    </r>
    <r>
      <rPr>
        <i val="true"/>
        <sz val="9"/>
        <color rgb="FF808080"/>
        <rFont val="DejaVu Sans"/>
        <family val="2"/>
      </rPr>
      <t xml:space="preserve">간단한 피드백용</t>
    </r>
  </si>
  <si>
    <t xml:space="preserve">Claude Opus 4</t>
  </si>
  <si>
    <r>
      <rPr>
        <i val="true"/>
        <sz val="9"/>
        <color rgb="FF808080"/>
        <rFont val="DejaVu Sans"/>
        <family val="2"/>
      </rPr>
      <t xml:space="preserve">최고품질</t>
    </r>
    <r>
      <rPr>
        <i val="true"/>
        <sz val="9"/>
        <color rgb="FF808080"/>
        <rFont val="Arial"/>
        <family val="0"/>
        <charset val="1"/>
      </rPr>
      <t xml:space="preserve">·</t>
    </r>
    <r>
      <rPr>
        <i val="true"/>
        <sz val="9"/>
        <color rgb="FF808080"/>
        <rFont val="DejaVu Sans"/>
        <family val="2"/>
      </rPr>
      <t xml:space="preserve">비용 </t>
    </r>
    <r>
      <rPr>
        <i val="true"/>
        <sz val="9"/>
        <color rgb="FF808080"/>
        <rFont val="Arial"/>
        <family val="0"/>
        <charset val="1"/>
      </rPr>
      <t xml:space="preserve">5</t>
    </r>
    <r>
      <rPr>
        <i val="true"/>
        <sz val="9"/>
        <color rgb="FF808080"/>
        <rFont val="DejaVu Sans"/>
        <family val="2"/>
      </rPr>
      <t xml:space="preserve">배</t>
    </r>
  </si>
  <si>
    <r>
      <rPr>
        <b val="true"/>
        <sz val="12"/>
        <color rgb="FF1F4E79"/>
        <rFont val="Arial"/>
        <family val="0"/>
        <charset val="1"/>
      </rPr>
      <t xml:space="preserve">🔊 Google TTS </t>
    </r>
    <r>
      <rPr>
        <b val="true"/>
        <sz val="12"/>
        <color rgb="FF1F4E79"/>
        <rFont val="DejaVu Sans"/>
        <family val="2"/>
      </rPr>
      <t xml:space="preserve">가격 </t>
    </r>
    <r>
      <rPr>
        <b val="true"/>
        <sz val="12"/>
        <color rgb="FF1F4E79"/>
        <rFont val="Arial"/>
        <family val="0"/>
        <charset val="1"/>
      </rPr>
      <t xml:space="preserve">(USD per 1M characters)</t>
    </r>
  </si>
  <si>
    <t xml:space="preserve">Standard voice</t>
  </si>
  <si>
    <r>
      <rPr>
        <i val="true"/>
        <sz val="9"/>
        <color rgb="FF808080"/>
        <rFont val="DejaVu Sans"/>
        <family val="2"/>
      </rPr>
      <t xml:space="preserve">저가</t>
    </r>
    <r>
      <rPr>
        <i val="true"/>
        <sz val="9"/>
        <color rgb="FF808080"/>
        <rFont val="Arial"/>
        <family val="0"/>
        <charset val="1"/>
      </rPr>
      <t xml:space="preserve">·</t>
    </r>
    <r>
      <rPr>
        <i val="true"/>
        <sz val="9"/>
        <color rgb="FF808080"/>
        <rFont val="DejaVu Sans"/>
        <family val="2"/>
      </rPr>
      <t xml:space="preserve">기본 음성</t>
    </r>
  </si>
  <si>
    <t xml:space="preserve">WaveNet/Neural voice</t>
  </si>
  <si>
    <r>
      <rPr>
        <i val="true"/>
        <sz val="9"/>
        <color rgb="FF808080"/>
        <rFont val="DejaVu Sans"/>
        <family val="2"/>
      </rPr>
      <t xml:space="preserve">자연스러운 음성</t>
    </r>
    <r>
      <rPr>
        <i val="true"/>
        <sz val="9"/>
        <color rgb="FF808080"/>
        <rFont val="Arial"/>
        <family val="0"/>
        <charset val="1"/>
      </rPr>
      <t xml:space="preserve">·</t>
    </r>
    <r>
      <rPr>
        <i val="true"/>
        <sz val="9"/>
        <color rgb="FF808080"/>
        <rFont val="DejaVu Sans"/>
        <family val="2"/>
      </rPr>
      <t xml:space="preserve">현재 앱 기본값 추정</t>
    </r>
  </si>
  <si>
    <r>
      <rPr>
        <b val="true"/>
        <sz val="12"/>
        <color rgb="FF1F4E79"/>
        <rFont val="Arial"/>
        <family val="0"/>
        <charset val="1"/>
      </rPr>
      <t xml:space="preserve">🧮 AI </t>
    </r>
    <r>
      <rPr>
        <b val="true"/>
        <sz val="12"/>
        <color rgb="FF1F4E79"/>
        <rFont val="DejaVu Sans"/>
        <family val="2"/>
      </rPr>
      <t xml:space="preserve">기능별 </t>
    </r>
    <r>
      <rPr>
        <b val="true"/>
        <sz val="12"/>
        <color rgb="FF1F4E79"/>
        <rFont val="Arial"/>
        <family val="0"/>
        <charset val="1"/>
      </rPr>
      <t xml:space="preserve">1</t>
    </r>
    <r>
      <rPr>
        <b val="true"/>
        <sz val="12"/>
        <color rgb="FF1F4E79"/>
        <rFont val="DejaVu Sans"/>
        <family val="2"/>
      </rPr>
      <t xml:space="preserve">회 호출 평균 토큰 추정</t>
    </r>
  </si>
  <si>
    <t xml:space="preserve">기능</t>
  </si>
  <si>
    <r>
      <rPr>
        <b val="true"/>
        <sz val="11"/>
        <color rgb="FFFFFFFF"/>
        <rFont val="DejaVu Sans"/>
        <family val="2"/>
      </rPr>
      <t xml:space="preserve">입력 </t>
    </r>
    <r>
      <rPr>
        <b val="true"/>
        <sz val="11"/>
        <color rgb="FFFFFFFF"/>
        <rFont val="Arial"/>
        <family val="0"/>
        <charset val="1"/>
      </rPr>
      <t xml:space="preserve">tok</t>
    </r>
  </si>
  <si>
    <r>
      <rPr>
        <b val="true"/>
        <sz val="11"/>
        <color rgb="FFFFFFFF"/>
        <rFont val="DejaVu Sans"/>
        <family val="2"/>
      </rPr>
      <t xml:space="preserve">출력 </t>
    </r>
    <r>
      <rPr>
        <b val="true"/>
        <sz val="11"/>
        <color rgb="FFFFFFFF"/>
        <rFont val="Arial"/>
        <family val="0"/>
        <charset val="1"/>
      </rPr>
      <t xml:space="preserve">tok</t>
    </r>
  </si>
  <si>
    <r>
      <rPr>
        <b val="true"/>
        <sz val="11"/>
        <color rgb="FFFFFFFF"/>
        <rFont val="DejaVu Sans"/>
        <family val="2"/>
      </rPr>
      <t xml:space="preserve">응답 글자수</t>
    </r>
    <r>
      <rPr>
        <b val="true"/>
        <sz val="11"/>
        <color rgb="FFFFFFFF"/>
        <rFont val="Arial"/>
        <family val="0"/>
        <charset val="1"/>
      </rPr>
      <t xml:space="preserve">(TTS</t>
    </r>
    <r>
      <rPr>
        <b val="true"/>
        <sz val="11"/>
        <color rgb="FFFFFFFF"/>
        <rFont val="DejaVu Sans"/>
        <family val="2"/>
      </rPr>
      <t xml:space="preserve">용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</si>
  <si>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설명</t>
  </si>
  <si>
    <r>
      <rPr>
        <sz val="10"/>
        <rFont val="Arial"/>
        <family val="0"/>
        <charset val="1"/>
      </rPr>
      <t xml:space="preserve">discussionCoach (</t>
    </r>
    <r>
      <rPr>
        <sz val="10"/>
        <rFont val="DejaVu Sans"/>
        <family val="2"/>
      </rPr>
      <t xml:space="preserve">토론 피드백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</si>
  <si>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808080"/>
        <rFont val="DejaVu Sans"/>
        <family val="2"/>
      </rPr>
      <t xml:space="preserve">시스템</t>
    </r>
    <r>
      <rPr>
        <i val="true"/>
        <sz val="9"/>
        <color rgb="FF808080"/>
        <rFont val="Arial"/>
        <family val="0"/>
        <charset val="1"/>
      </rPr>
      <t xml:space="preserve">+</t>
    </r>
    <r>
      <rPr>
        <i val="true"/>
        <sz val="9"/>
        <color rgb="FF808080"/>
        <rFont val="DejaVu Sans"/>
        <family val="2"/>
      </rPr>
      <t xml:space="preserve">책요약</t>
    </r>
    <r>
      <rPr>
        <i val="true"/>
        <sz val="9"/>
        <color rgb="FF808080"/>
        <rFont val="Arial"/>
        <family val="0"/>
        <charset val="1"/>
      </rPr>
      <t xml:space="preserve">+</t>
    </r>
    <r>
      <rPr>
        <i val="true"/>
        <sz val="9"/>
        <color rgb="FF808080"/>
        <rFont val="DejaVu Sans"/>
        <family val="2"/>
      </rPr>
      <t xml:space="preserve">토픽</t>
    </r>
    <r>
      <rPr>
        <i val="true"/>
        <sz val="9"/>
        <color rgb="FF808080"/>
        <rFont val="Arial"/>
        <family val="0"/>
        <charset val="1"/>
      </rPr>
      <t xml:space="preserve">+</t>
    </r>
    <r>
      <rPr>
        <i val="true"/>
        <sz val="9"/>
        <color rgb="FF808080"/>
        <rFont val="DejaVu Sans"/>
        <family val="2"/>
      </rPr>
      <t xml:space="preserve">유저답 → 피드백 한 단락</t>
    </r>
  </si>
  <si>
    <r>
      <rPr>
        <sz val="10"/>
        <rFont val="Arial"/>
        <family val="0"/>
        <charset val="1"/>
      </rPr>
      <t xml:space="preserve">askBook (</t>
    </r>
    <r>
      <rPr>
        <sz val="10"/>
        <rFont val="DejaVu Sans"/>
        <family val="2"/>
      </rPr>
      <t xml:space="preserve">책 </t>
    </r>
    <r>
      <rPr>
        <sz val="10"/>
        <rFont val="Arial"/>
        <family val="0"/>
        <charset val="1"/>
      </rPr>
      <t xml:space="preserve">Q&amp;A / </t>
    </r>
    <r>
      <rPr>
        <sz val="10"/>
        <rFont val="DejaVu Sans"/>
        <family val="2"/>
      </rPr>
      <t xml:space="preserve">아바타 대화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</si>
  <si>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808080"/>
        <rFont val="DejaVu Sans"/>
        <family val="2"/>
      </rPr>
      <t xml:space="preserve">시스템</t>
    </r>
    <r>
      <rPr>
        <i val="true"/>
        <sz val="9"/>
        <color rgb="FF808080"/>
        <rFont val="Arial"/>
        <family val="0"/>
        <charset val="1"/>
      </rPr>
      <t xml:space="preserve">+</t>
    </r>
    <r>
      <rPr>
        <i val="true"/>
        <sz val="9"/>
        <color rgb="FF808080"/>
        <rFont val="DejaVu Sans"/>
        <family val="2"/>
      </rPr>
      <t xml:space="preserve">책데이터</t>
    </r>
    <r>
      <rPr>
        <i val="true"/>
        <sz val="9"/>
        <color rgb="FF808080"/>
        <rFont val="Arial"/>
        <family val="0"/>
        <charset val="1"/>
      </rPr>
      <t xml:space="preserve">+</t>
    </r>
    <r>
      <rPr>
        <i val="true"/>
        <sz val="9"/>
        <color rgb="FF808080"/>
        <rFont val="DejaVu Sans"/>
        <family val="2"/>
      </rPr>
      <t xml:space="preserve">최근 </t>
    </r>
    <r>
      <rPr>
        <i val="true"/>
        <sz val="9"/>
        <color rgb="FF808080"/>
        <rFont val="Arial"/>
        <family val="0"/>
        <charset val="1"/>
      </rPr>
      <t xml:space="preserve">6</t>
    </r>
    <r>
      <rPr>
        <i val="true"/>
        <sz val="9"/>
        <color rgb="FF808080"/>
        <rFont val="DejaVu Sans"/>
        <family val="2"/>
      </rPr>
      <t xml:space="preserve">턴</t>
    </r>
    <r>
      <rPr>
        <i val="true"/>
        <sz val="9"/>
        <color rgb="FF808080"/>
        <rFont val="Arial"/>
        <family val="0"/>
        <charset val="1"/>
      </rPr>
      <t xml:space="preserve">+</t>
    </r>
    <r>
      <rPr>
        <i val="true"/>
        <sz val="9"/>
        <color rgb="FF808080"/>
        <rFont val="DejaVu Sans"/>
        <family val="2"/>
      </rPr>
      <t xml:space="preserve">질문 → </t>
    </r>
    <r>
      <rPr>
        <i val="true"/>
        <sz val="9"/>
        <color rgb="FF808080"/>
        <rFont val="Arial"/>
        <family val="0"/>
        <charset val="1"/>
      </rPr>
      <t xml:space="preserve">2~3</t>
    </r>
    <r>
      <rPr>
        <i val="true"/>
        <sz val="9"/>
        <color rgb="FF808080"/>
        <rFont val="DejaVu Sans"/>
        <family val="2"/>
      </rPr>
      <t xml:space="preserve">문장</t>
    </r>
  </si>
  <si>
    <r>
      <rPr>
        <sz val="10"/>
        <rFont val="Arial"/>
        <family val="0"/>
        <charset val="1"/>
      </rPr>
      <t xml:space="preserve">recommendBooks (</t>
    </r>
    <r>
      <rPr>
        <sz val="10"/>
        <rFont val="DejaVu Sans"/>
        <family val="2"/>
      </rPr>
      <t xml:space="preserve">책 추천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</si>
  <si>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808080"/>
        <rFont val="DejaVu Sans"/>
        <family val="2"/>
      </rPr>
      <t xml:space="preserve">읽은 책 리스트 → </t>
    </r>
    <r>
      <rPr>
        <i val="true"/>
        <sz val="9"/>
        <color rgb="FF808080"/>
        <rFont val="Arial"/>
        <family val="0"/>
        <charset val="1"/>
      </rPr>
      <t xml:space="preserve">3~5</t>
    </r>
    <r>
      <rPr>
        <i val="true"/>
        <sz val="9"/>
        <color rgb="FF808080"/>
        <rFont val="DejaVu Sans"/>
        <family val="2"/>
      </rPr>
      <t xml:space="preserve">권 </t>
    </r>
    <r>
      <rPr>
        <i val="true"/>
        <sz val="9"/>
        <color rgb="FF808080"/>
        <rFont val="Arial"/>
        <family val="0"/>
        <charset val="1"/>
      </rPr>
      <t xml:space="preserve">JSON </t>
    </r>
    <r>
      <rPr>
        <i val="true"/>
        <sz val="9"/>
        <color rgb="FF808080"/>
        <rFont val="DejaVu Sans"/>
        <family val="2"/>
      </rPr>
      <t xml:space="preserve">추천 </t>
    </r>
    <r>
      <rPr>
        <i val="true"/>
        <sz val="9"/>
        <color rgb="FF808080"/>
        <rFont val="Arial"/>
        <family val="0"/>
        <charset val="1"/>
      </rPr>
      <t xml:space="preserve">(TTS </t>
    </r>
    <r>
      <rPr>
        <i val="true"/>
        <sz val="9"/>
        <color rgb="FF808080"/>
        <rFont val="DejaVu Sans"/>
        <family val="2"/>
      </rPr>
      <t xml:space="preserve">안 씀</t>
    </r>
    <r>
      <rPr>
        <i val="true"/>
        <sz val="9"/>
        <color rgb="FF808080"/>
        <rFont val="Arial"/>
        <family val="0"/>
        <charset val="1"/>
      </rPr>
      <t xml:space="preserve">)</t>
    </r>
  </si>
  <si>
    <r>
      <rPr>
        <b val="true"/>
        <sz val="12"/>
        <color rgb="FF1F4E79"/>
        <rFont val="DejaVu Sans"/>
        <family val="2"/>
      </rPr>
      <t xml:space="preserve">📞 활성 유저 </t>
    </r>
    <r>
      <rPr>
        <b val="true"/>
        <sz val="12"/>
        <color rgb="FF1F4E79"/>
        <rFont val="Arial"/>
        <family val="0"/>
        <charset val="1"/>
      </rPr>
      <t xml:space="preserve">1</t>
    </r>
    <r>
      <rPr>
        <b val="true"/>
        <sz val="12"/>
        <color rgb="FF1F4E79"/>
        <rFont val="DejaVu Sans"/>
        <family val="2"/>
      </rPr>
      <t xml:space="preserve">인당 </t>
    </r>
    <r>
      <rPr>
        <b val="true"/>
        <sz val="12"/>
        <color rgb="FF1F4E79"/>
        <rFont val="Arial"/>
        <family val="0"/>
        <charset val="1"/>
      </rPr>
      <t xml:space="preserve">12</t>
    </r>
    <r>
      <rPr>
        <b val="true"/>
        <sz val="12"/>
        <color rgb="FF1F4E79"/>
        <rFont val="DejaVu Sans"/>
        <family val="2"/>
      </rPr>
      <t xml:space="preserve">주 총 호출 횟수 추정</t>
    </r>
  </si>
  <si>
    <t xml:space="preserve">주당 호출</t>
  </si>
  <si>
    <r>
      <rPr>
        <b val="true"/>
        <sz val="11"/>
        <color rgb="FFFFFFFF"/>
        <rFont val="Arial"/>
        <family val="0"/>
        <charset val="1"/>
      </rPr>
      <t xml:space="preserve">12</t>
    </r>
    <r>
      <rPr>
        <b val="true"/>
        <sz val="11"/>
        <color rgb="FFFFFFFF"/>
        <rFont val="DejaVu Sans"/>
        <family val="2"/>
      </rPr>
      <t xml:space="preserve">주 총</t>
    </r>
  </si>
  <si>
    <t xml:space="preserve">discussionCoach</t>
  </si>
  <si>
    <r>
      <rPr>
        <i val="true"/>
        <sz val="9"/>
        <color rgb="FF808080"/>
        <rFont val="DejaVu Sans"/>
        <family val="2"/>
      </rPr>
      <t xml:space="preserve">주 </t>
    </r>
    <r>
      <rPr>
        <i val="true"/>
        <sz val="9"/>
        <color rgb="FF808080"/>
        <rFont val="Arial"/>
        <family val="0"/>
        <charset val="1"/>
      </rPr>
      <t xml:space="preserve">5</t>
    </r>
    <r>
      <rPr>
        <i val="true"/>
        <sz val="9"/>
        <color rgb="FF808080"/>
        <rFont val="DejaVu Sans"/>
        <family val="2"/>
      </rPr>
      <t xml:space="preserve">개 토론 </t>
    </r>
    <r>
      <rPr>
        <i val="true"/>
        <sz val="9"/>
        <color rgb="FF808080"/>
        <rFont val="Arial"/>
        <family val="0"/>
        <charset val="1"/>
      </rPr>
      <t xml:space="preserve">× 3</t>
    </r>
    <r>
      <rPr>
        <i val="true"/>
        <sz val="9"/>
        <color rgb="FF808080"/>
        <rFont val="DejaVu Sans"/>
        <family val="2"/>
      </rPr>
      <t xml:space="preserve">답변 </t>
    </r>
    <r>
      <rPr>
        <i val="true"/>
        <sz val="9"/>
        <color rgb="FF808080"/>
        <rFont val="Arial"/>
        <family val="0"/>
        <charset val="1"/>
      </rPr>
      <t xml:space="preserve">= 15 (isFirstAnswer</t>
    </r>
    <r>
      <rPr>
        <i val="true"/>
        <sz val="9"/>
        <color rgb="FF808080"/>
        <rFont val="DejaVu Sans"/>
        <family val="2"/>
      </rPr>
      <t xml:space="preserve">만이 아닌 매 답변마다 호출됨</t>
    </r>
    <r>
      <rPr>
        <i val="true"/>
        <sz val="9"/>
        <color rgb="FF808080"/>
        <rFont val="Arial"/>
        <family val="0"/>
        <charset val="1"/>
      </rPr>
      <t xml:space="preserve">)</t>
    </r>
  </si>
  <si>
    <t xml:space="preserve">askBook</t>
  </si>
  <si>
    <r>
      <rPr>
        <i val="true"/>
        <sz val="9"/>
        <color rgb="FF808080"/>
        <rFont val="DejaVu Sans"/>
        <family val="2"/>
      </rPr>
      <t xml:space="preserve">책 읽으며 궁금한 점 </t>
    </r>
    <r>
      <rPr>
        <i val="true"/>
        <sz val="9"/>
        <color rgb="FF808080"/>
        <rFont val="Arial"/>
        <family val="0"/>
        <charset val="1"/>
      </rPr>
      <t xml:space="preserve">+ </t>
    </r>
    <r>
      <rPr>
        <i val="true"/>
        <sz val="9"/>
        <color rgb="FF808080"/>
        <rFont val="DejaVu Sans"/>
        <family val="2"/>
      </rPr>
      <t xml:space="preserve">아바타 대화</t>
    </r>
  </si>
  <si>
    <t xml:space="preserve">recommendBooks</t>
  </si>
  <si>
    <r>
      <rPr>
        <i val="true"/>
        <sz val="9"/>
        <color rgb="FF808080"/>
        <rFont val="DejaVu Sans"/>
        <family val="2"/>
      </rPr>
      <t xml:space="preserve">주 </t>
    </r>
    <r>
      <rPr>
        <i val="true"/>
        <sz val="9"/>
        <color rgb="FF808080"/>
        <rFont val="Arial"/>
        <family val="0"/>
        <charset val="1"/>
      </rPr>
      <t xml:space="preserve">1</t>
    </r>
    <r>
      <rPr>
        <i val="true"/>
        <sz val="9"/>
        <color rgb="FF808080"/>
        <rFont val="DejaVu Sans"/>
        <family val="2"/>
      </rPr>
      <t xml:space="preserve">회 추천화면 열람</t>
    </r>
  </si>
  <si>
    <r>
      <rPr>
        <b val="true"/>
        <sz val="12"/>
        <color rgb="FF1F4E79"/>
        <rFont val="Arial"/>
        <family val="0"/>
        <charset val="1"/>
      </rPr>
      <t xml:space="preserve">🔥 Firebase </t>
    </r>
    <r>
      <rPr>
        <b val="true"/>
        <sz val="12"/>
        <color rgb="FF1F4E79"/>
        <rFont val="DejaVu Sans"/>
        <family val="2"/>
      </rPr>
      <t xml:space="preserve">가격 </t>
    </r>
    <r>
      <rPr>
        <b val="true"/>
        <sz val="12"/>
        <color rgb="FF1F4E79"/>
        <rFont val="Arial"/>
        <family val="0"/>
        <charset val="1"/>
      </rPr>
      <t xml:space="preserve">(Blaze </t>
    </r>
    <r>
      <rPr>
        <b val="true"/>
        <sz val="12"/>
        <color rgb="FF1F4E79"/>
        <rFont val="DejaVu Sans"/>
        <family val="2"/>
      </rPr>
      <t xml:space="preserve">요금제</t>
    </r>
    <r>
      <rPr>
        <b val="true"/>
        <sz val="12"/>
        <color rgb="FF1F4E79"/>
        <rFont val="Arial"/>
        <family val="0"/>
        <charset val="1"/>
      </rPr>
      <t xml:space="preserve">, </t>
    </r>
    <r>
      <rPr>
        <b val="true"/>
        <sz val="12"/>
        <color rgb="FF1F4E79"/>
        <rFont val="DejaVu Sans"/>
        <family val="2"/>
      </rPr>
      <t xml:space="preserve">무료 티어 초과분만 과금</t>
    </r>
    <r>
      <rPr>
        <b val="true"/>
        <sz val="12"/>
        <color rgb="FF1F4E79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</si>
  <si>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Cloud Functions invocations (</t>
    </r>
    <r>
      <rPr>
        <sz val="10"/>
        <rFont val="DejaVu Sans"/>
        <family val="2"/>
      </rPr>
      <t xml:space="preserve">무료</t>
    </r>
    <r>
      <rPr>
        <sz val="10"/>
        <rFont val="Arial"/>
        <family val="0"/>
        <charset val="1"/>
      </rPr>
      <t xml:space="preserve">: </t>
    </r>
    <r>
      <rPr>
        <sz val="10"/>
        <rFont val="DejaVu Sans"/>
        <family val="2"/>
      </rPr>
      <t xml:space="preserve">월 </t>
    </r>
    <r>
      <rPr>
        <sz val="10"/>
        <rFont val="Arial"/>
        <family val="0"/>
        <charset val="1"/>
      </rPr>
      <t xml:space="preserve">2M)</t>
    </r>
  </si>
  <si>
    <r>
      <rPr>
        <i val="true"/>
        <sz val="9"/>
        <color rgb="FF808080"/>
        <rFont val="DejaVu Sans"/>
        <family val="2"/>
      </rPr>
      <t xml:space="preserve">월당 </t>
    </r>
    <r>
      <rPr>
        <i val="true"/>
        <sz val="9"/>
        <color rgb="FF808080"/>
        <rFont val="Arial"/>
        <family val="0"/>
        <charset val="1"/>
      </rPr>
      <t xml:space="preserve">1M</t>
    </r>
    <r>
      <rPr>
        <i val="true"/>
        <sz val="9"/>
        <color rgb="FF808080"/>
        <rFont val="DejaVu Sans"/>
        <family val="2"/>
      </rPr>
      <t xml:space="preserve">당 </t>
    </r>
    <r>
      <rPr>
        <i val="true"/>
        <sz val="9"/>
        <color rgb="FF808080"/>
        <rFont val="Arial"/>
        <family val="0"/>
        <charset val="1"/>
      </rPr>
      <t xml:space="preserve">$0.40</t>
    </r>
  </si>
  <si>
    <r>
      <rPr>
        <i val="true"/>
        <sz val="9"/>
        <color rgb="FF808080"/>
        <rFont val="DejaVu Sans"/>
        <family val="2"/>
      </rPr>
      <t xml:space="preserve">베타 </t>
    </r>
    <r>
      <rPr>
        <i val="true"/>
        <sz val="9"/>
        <color rgb="FF808080"/>
        <rFont val="Arial"/>
        <family val="0"/>
        <charset val="1"/>
      </rPr>
      <t xml:space="preserve">100</t>
    </r>
    <r>
      <rPr>
        <i val="true"/>
        <sz val="9"/>
        <color rgb="FF808080"/>
        <rFont val="DejaVu Sans"/>
        <family val="2"/>
      </rPr>
      <t xml:space="preserve">명</t>
    </r>
    <r>
      <rPr>
        <i val="true"/>
        <sz val="9"/>
        <color rgb="FF808080"/>
        <rFont val="Arial"/>
        <family val="0"/>
        <charset val="1"/>
      </rPr>
      <t xml:space="preserve">·</t>
    </r>
    <r>
      <rPr>
        <i val="true"/>
        <sz val="9"/>
        <color rgb="FF808080"/>
        <rFont val="DejaVu Sans"/>
        <family val="2"/>
      </rPr>
      <t xml:space="preserve">월 </t>
    </r>
    <r>
      <rPr>
        <i val="true"/>
        <sz val="9"/>
        <color rgb="FF808080"/>
        <rFont val="Arial"/>
        <family val="0"/>
        <charset val="1"/>
      </rPr>
      <t xml:space="preserve">20</t>
    </r>
    <r>
      <rPr>
        <i val="true"/>
        <sz val="9"/>
        <color rgb="FF808080"/>
        <rFont val="DejaVu Sans"/>
        <family val="2"/>
      </rPr>
      <t xml:space="preserve">만 호출 → 무료 티어 내</t>
    </r>
  </si>
  <si>
    <r>
      <rPr>
        <sz val="10"/>
        <rFont val="Arial"/>
        <family val="0"/>
        <charset val="1"/>
      </rPr>
      <t xml:space="preserve">Cloud Functions GB-seconds (</t>
    </r>
    <r>
      <rPr>
        <sz val="10"/>
        <rFont val="DejaVu Sans"/>
        <family val="2"/>
      </rPr>
      <t xml:space="preserve">무료</t>
    </r>
    <r>
      <rPr>
        <sz val="10"/>
        <rFont val="Arial"/>
        <family val="0"/>
        <charset val="1"/>
      </rPr>
      <t xml:space="preserve">: </t>
    </r>
    <r>
      <rPr>
        <sz val="10"/>
        <rFont val="DejaVu Sans"/>
        <family val="2"/>
      </rPr>
      <t xml:space="preserve">월 </t>
    </r>
    <r>
      <rPr>
        <sz val="10"/>
        <rFont val="Arial"/>
        <family val="0"/>
        <charset val="1"/>
      </rPr>
      <t xml:space="preserve">400K)</t>
    </r>
  </si>
  <si>
    <r>
      <rPr>
        <i val="true"/>
        <sz val="9"/>
        <color rgb="FF808080"/>
        <rFont val="Arial"/>
        <family val="0"/>
        <charset val="1"/>
      </rPr>
      <t xml:space="preserve">100K</t>
    </r>
    <r>
      <rPr>
        <i val="true"/>
        <sz val="9"/>
        <color rgb="FF808080"/>
        <rFont val="DejaVu Sans"/>
        <family val="2"/>
      </rPr>
      <t xml:space="preserve">당 </t>
    </r>
    <r>
      <rPr>
        <i val="true"/>
        <sz val="9"/>
        <color rgb="FF808080"/>
        <rFont val="Arial"/>
        <family val="0"/>
        <charset val="1"/>
      </rPr>
      <t xml:space="preserve">$0.0000025</t>
    </r>
  </si>
  <si>
    <t xml:space="preserve">대부분 무료</t>
  </si>
  <si>
    <r>
      <rPr>
        <sz val="10"/>
        <rFont val="Arial"/>
        <family val="0"/>
        <charset val="1"/>
      </rPr>
      <t xml:space="preserve">Firestore </t>
    </r>
    <r>
      <rPr>
        <sz val="10"/>
        <rFont val="DejaVu Sans"/>
        <family val="2"/>
      </rPr>
      <t xml:space="preserve">쓰기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무료</t>
    </r>
    <r>
      <rPr>
        <sz val="10"/>
        <rFont val="Arial"/>
        <family val="0"/>
        <charset val="1"/>
      </rPr>
      <t xml:space="preserve">: </t>
    </r>
    <r>
      <rPr>
        <sz val="10"/>
        <rFont val="DejaVu Sans"/>
        <family val="2"/>
      </rPr>
      <t xml:space="preserve">일 </t>
    </r>
    <r>
      <rPr>
        <sz val="10"/>
        <rFont val="Arial"/>
        <family val="0"/>
        <charset val="1"/>
      </rPr>
      <t xml:space="preserve">20K)</t>
    </r>
  </si>
  <si>
    <r>
      <rPr>
        <i val="true"/>
        <sz val="9"/>
        <color rgb="FF808080"/>
        <rFont val="Arial"/>
        <family val="0"/>
        <charset val="1"/>
      </rPr>
      <t xml:space="preserve">100K</t>
    </r>
    <r>
      <rPr>
        <i val="true"/>
        <sz val="9"/>
        <color rgb="FF808080"/>
        <rFont val="DejaVu Sans"/>
        <family val="2"/>
      </rPr>
      <t xml:space="preserve">당 </t>
    </r>
    <r>
      <rPr>
        <i val="true"/>
        <sz val="9"/>
        <color rgb="FF808080"/>
        <rFont val="Arial"/>
        <family val="0"/>
        <charset val="1"/>
      </rPr>
      <t xml:space="preserve">$0.18</t>
    </r>
  </si>
  <si>
    <r>
      <rPr>
        <i val="true"/>
        <sz val="9"/>
        <color rgb="FF808080"/>
        <rFont val="Arial"/>
        <family val="0"/>
        <charset val="1"/>
      </rPr>
      <t xml:space="preserve">100</t>
    </r>
    <r>
      <rPr>
        <i val="true"/>
        <sz val="9"/>
        <color rgb="FF808080"/>
        <rFont val="DejaVu Sans"/>
        <family val="2"/>
      </rPr>
      <t xml:space="preserve">명 </t>
    </r>
    <r>
      <rPr>
        <i val="true"/>
        <sz val="9"/>
        <color rgb="FF808080"/>
        <rFont val="Arial"/>
        <family val="0"/>
        <charset val="1"/>
      </rPr>
      <t xml:space="preserve">× </t>
    </r>
    <r>
      <rPr>
        <i val="true"/>
        <sz val="9"/>
        <color rgb="FF808080"/>
        <rFont val="DejaVu Sans"/>
        <family val="2"/>
      </rPr>
      <t xml:space="preserve">일 </t>
    </r>
    <r>
      <rPr>
        <i val="true"/>
        <sz val="9"/>
        <color rgb="FF808080"/>
        <rFont val="Arial"/>
        <family val="0"/>
        <charset val="1"/>
      </rPr>
      <t xml:space="preserve">60 </t>
    </r>
    <r>
      <rPr>
        <i val="true"/>
        <sz val="9"/>
        <color rgb="FF808080"/>
        <rFont val="DejaVu Sans"/>
        <family val="2"/>
      </rPr>
      <t xml:space="preserve">쓰기 </t>
    </r>
    <r>
      <rPr>
        <i val="true"/>
        <sz val="9"/>
        <color rgb="FF808080"/>
        <rFont val="Arial"/>
        <family val="0"/>
        <charset val="1"/>
      </rPr>
      <t xml:space="preserve">= 6K/</t>
    </r>
    <r>
      <rPr>
        <i val="true"/>
        <sz val="9"/>
        <color rgb="FF808080"/>
        <rFont val="DejaVu Sans"/>
        <family val="2"/>
      </rPr>
      <t xml:space="preserve">일 → 무료 내</t>
    </r>
  </si>
  <si>
    <r>
      <rPr>
        <sz val="10"/>
        <rFont val="Arial"/>
        <family val="0"/>
        <charset val="1"/>
      </rPr>
      <t xml:space="preserve">Firestore </t>
    </r>
    <r>
      <rPr>
        <sz val="10"/>
        <rFont val="DejaVu Sans"/>
        <family val="2"/>
      </rPr>
      <t xml:space="preserve">읽기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무료</t>
    </r>
    <r>
      <rPr>
        <sz val="10"/>
        <rFont val="Arial"/>
        <family val="0"/>
        <charset val="1"/>
      </rPr>
      <t xml:space="preserve">: </t>
    </r>
    <r>
      <rPr>
        <sz val="10"/>
        <rFont val="DejaVu Sans"/>
        <family val="2"/>
      </rPr>
      <t xml:space="preserve">일 </t>
    </r>
    <r>
      <rPr>
        <sz val="10"/>
        <rFont val="Arial"/>
        <family val="0"/>
        <charset val="1"/>
      </rPr>
      <t xml:space="preserve">50K)</t>
    </r>
  </si>
  <si>
    <r>
      <rPr>
        <i val="true"/>
        <sz val="9"/>
        <color rgb="FF808080"/>
        <rFont val="Arial"/>
        <family val="0"/>
        <charset val="1"/>
      </rPr>
      <t xml:space="preserve">100K</t>
    </r>
    <r>
      <rPr>
        <i val="true"/>
        <sz val="9"/>
        <color rgb="FF808080"/>
        <rFont val="DejaVu Sans"/>
        <family val="2"/>
      </rPr>
      <t xml:space="preserve">당 </t>
    </r>
    <r>
      <rPr>
        <i val="true"/>
        <sz val="9"/>
        <color rgb="FF808080"/>
        <rFont val="Arial"/>
        <family val="0"/>
        <charset val="1"/>
      </rPr>
      <t xml:space="preserve">$0.06</t>
    </r>
  </si>
  <si>
    <t xml:space="preserve">무료 내</t>
  </si>
  <si>
    <r>
      <rPr>
        <sz val="10"/>
        <rFont val="Arial"/>
        <family val="0"/>
        <charset val="1"/>
      </rPr>
      <t xml:space="preserve">Firestore </t>
    </r>
    <r>
      <rPr>
        <sz val="10"/>
        <rFont val="DejaVu Sans"/>
        <family val="2"/>
      </rPr>
      <t xml:space="preserve">저장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무료</t>
    </r>
    <r>
      <rPr>
        <sz val="10"/>
        <rFont val="Arial"/>
        <family val="0"/>
        <charset val="1"/>
      </rPr>
      <t xml:space="preserve">: 1GB)</t>
    </r>
  </si>
  <si>
    <r>
      <rPr>
        <i val="true"/>
        <sz val="9"/>
        <color rgb="FF808080"/>
        <rFont val="Arial"/>
        <family val="0"/>
        <charset val="1"/>
      </rPr>
      <t xml:space="preserve">GB</t>
    </r>
    <r>
      <rPr>
        <i val="true"/>
        <sz val="9"/>
        <color rgb="FF808080"/>
        <rFont val="DejaVu Sans"/>
        <family val="2"/>
      </rPr>
      <t xml:space="preserve">당 </t>
    </r>
    <r>
      <rPr>
        <i val="true"/>
        <sz val="9"/>
        <color rgb="FF808080"/>
        <rFont val="Arial"/>
        <family val="0"/>
        <charset val="1"/>
      </rPr>
      <t xml:space="preserve">$0.18</t>
    </r>
  </si>
  <si>
    <r>
      <rPr>
        <i val="true"/>
        <sz val="9"/>
        <color rgb="FF808080"/>
        <rFont val="DejaVu Sans"/>
        <family val="2"/>
      </rPr>
      <t xml:space="preserve">유저당 </t>
    </r>
    <r>
      <rPr>
        <i val="true"/>
        <sz val="9"/>
        <color rgb="FF808080"/>
        <rFont val="Arial"/>
        <family val="0"/>
        <charset val="1"/>
      </rPr>
      <t xml:space="preserve">30KB × 100 = 3MB → </t>
    </r>
    <r>
      <rPr>
        <i val="true"/>
        <sz val="9"/>
        <color rgb="FF808080"/>
        <rFont val="DejaVu Sans"/>
        <family val="2"/>
      </rPr>
      <t xml:space="preserve">무료 내</t>
    </r>
  </si>
  <si>
    <r>
      <rPr>
        <sz val="10"/>
        <rFont val="Arial"/>
        <family val="0"/>
        <charset val="1"/>
      </rPr>
      <t xml:space="preserve">Hosting </t>
    </r>
    <r>
      <rPr>
        <sz val="10"/>
        <rFont val="DejaVu Sans"/>
        <family val="2"/>
      </rPr>
      <t xml:space="preserve">대역폭 </t>
    </r>
    <r>
      <rPr>
        <sz val="10"/>
        <rFont val="Arial"/>
        <family val="0"/>
        <charset val="1"/>
      </rPr>
      <t xml:space="preserve">(GitHub Pages </t>
    </r>
    <r>
      <rPr>
        <sz val="10"/>
        <rFont val="DejaVu Sans"/>
        <family val="2"/>
      </rPr>
      <t xml:space="preserve">쓰면 무료</t>
    </r>
    <r>
      <rPr>
        <sz val="10"/>
        <rFont val="Arial"/>
        <family val="0"/>
        <charset val="1"/>
      </rPr>
      <t xml:space="preserve">)</t>
    </r>
  </si>
  <si>
    <t xml:space="preserve">-</t>
  </si>
  <si>
    <r>
      <rPr>
        <i val="true"/>
        <sz val="9"/>
        <color rgb="FF808080"/>
        <rFont val="Arial"/>
        <family val="0"/>
        <charset val="1"/>
      </rPr>
      <t xml:space="preserve">index.html 1</t>
    </r>
    <r>
      <rPr>
        <i val="true"/>
        <sz val="9"/>
        <color rgb="FF808080"/>
        <rFont val="DejaVu Sans"/>
        <family val="2"/>
      </rPr>
      <t xml:space="preserve">회 로드 </t>
    </r>
    <r>
      <rPr>
        <i val="true"/>
        <sz val="9"/>
        <color rgb="FF808080"/>
        <rFont val="Arial"/>
        <family val="0"/>
        <charset val="1"/>
      </rPr>
      <t xml:space="preserve">= </t>
    </r>
    <r>
      <rPr>
        <i val="true"/>
        <sz val="9"/>
        <color rgb="FF808080"/>
        <rFont val="DejaVu Sans"/>
        <family val="2"/>
      </rPr>
      <t xml:space="preserve">약 </t>
    </r>
    <r>
      <rPr>
        <i val="true"/>
        <sz val="9"/>
        <color rgb="FF808080"/>
        <rFont val="Arial"/>
        <family val="0"/>
        <charset val="1"/>
      </rPr>
      <t xml:space="preserve">4MB (</t>
    </r>
    <r>
      <rPr>
        <i val="true"/>
        <sz val="9"/>
        <color rgb="FF808080"/>
        <rFont val="DejaVu Sans"/>
        <family val="2"/>
      </rPr>
      <t xml:space="preserve">이미지 포함</t>
    </r>
    <r>
      <rPr>
        <i val="true"/>
        <sz val="9"/>
        <color rgb="FF808080"/>
        <rFont val="Arial"/>
        <family val="0"/>
        <charset val="1"/>
      </rPr>
      <t xml:space="preserve">)</t>
    </r>
  </si>
  <si>
    <r>
      <rPr>
        <b val="true"/>
        <sz val="16"/>
        <color rgb="FF1F4E79"/>
        <rFont val="DejaVu Sans"/>
        <family val="2"/>
      </rPr>
      <t xml:space="preserve">기능별 총 호출량 </t>
    </r>
    <r>
      <rPr>
        <b val="true"/>
        <sz val="16"/>
        <color rgb="FF1F4E79"/>
        <rFont val="Arial"/>
        <family val="0"/>
        <charset val="1"/>
      </rPr>
      <t xml:space="preserve">· </t>
    </r>
    <r>
      <rPr>
        <b val="true"/>
        <sz val="16"/>
        <color rgb="FF1F4E79"/>
        <rFont val="DejaVu Sans"/>
        <family val="2"/>
      </rPr>
      <t xml:space="preserve">토큰 집계 </t>
    </r>
    <r>
      <rPr>
        <b val="true"/>
        <sz val="16"/>
        <color rgb="FF1F4E79"/>
        <rFont val="Arial"/>
        <family val="0"/>
        <charset val="1"/>
      </rPr>
      <t xml:space="preserve">(100</t>
    </r>
    <r>
      <rPr>
        <b val="true"/>
        <sz val="16"/>
        <color rgb="FF1F4E79"/>
        <rFont val="DejaVu Sans"/>
        <family val="2"/>
      </rPr>
      <t xml:space="preserve">명 활성 유저 </t>
    </r>
    <r>
      <rPr>
        <b val="true"/>
        <sz val="16"/>
        <color rgb="FF1F4E79"/>
        <rFont val="Arial"/>
        <family val="0"/>
        <charset val="1"/>
      </rPr>
      <t xml:space="preserve">× 12</t>
    </r>
    <r>
      <rPr>
        <b val="true"/>
        <sz val="16"/>
        <color rgb="FF1F4E79"/>
        <rFont val="DejaVu Sans"/>
        <family val="2"/>
      </rPr>
      <t xml:space="preserve">주</t>
    </r>
    <r>
      <rPr>
        <b val="true"/>
        <sz val="16"/>
        <color rgb="FF1F4E79"/>
        <rFont val="Arial"/>
        <family val="0"/>
        <charset val="1"/>
      </rPr>
      <t xml:space="preserve">)</t>
    </r>
  </si>
  <si>
    <r>
      <rPr>
        <b val="true"/>
        <sz val="12"/>
        <color rgb="FF1F4E79"/>
        <rFont val="Arial"/>
        <family val="0"/>
        <charset val="1"/>
      </rPr>
      <t xml:space="preserve">AI </t>
    </r>
    <r>
      <rPr>
        <b val="true"/>
        <sz val="12"/>
        <color rgb="FF1F4E79"/>
        <rFont val="DejaVu Sans"/>
        <family val="2"/>
      </rPr>
      <t xml:space="preserve">기능별 전체 호출량</t>
    </r>
  </si>
  <si>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DejaVu Sans"/>
        <family val="2"/>
      </rPr>
      <t xml:space="preserve">인 총 호출</t>
    </r>
  </si>
  <si>
    <t xml:space="preserve">전체 호출</t>
  </si>
  <si>
    <r>
      <rPr>
        <b val="true"/>
        <sz val="11"/>
        <color rgb="FFFFFFFF"/>
        <rFont val="DejaVu Sans"/>
        <family val="2"/>
      </rPr>
      <t xml:space="preserve">전체 입력 </t>
    </r>
    <r>
      <rPr>
        <b val="true"/>
        <sz val="11"/>
        <color rgb="FFFFFFFF"/>
        <rFont val="Arial"/>
        <family val="0"/>
        <charset val="1"/>
      </rPr>
      <t xml:space="preserve">tok</t>
    </r>
  </si>
  <si>
    <r>
      <rPr>
        <b val="true"/>
        <sz val="11"/>
        <color rgb="FFFFFFFF"/>
        <rFont val="DejaVu Sans"/>
        <family val="2"/>
      </rPr>
      <t xml:space="preserve">전체 출력 </t>
    </r>
    <r>
      <rPr>
        <b val="true"/>
        <sz val="11"/>
        <color rgb="FFFFFFFF"/>
        <rFont val="Arial"/>
        <family val="0"/>
        <charset val="1"/>
      </rPr>
      <t xml:space="preserve">tok</t>
    </r>
  </si>
  <si>
    <r>
      <rPr>
        <b val="true"/>
        <sz val="11"/>
        <color rgb="FFFFFFFF"/>
        <rFont val="Arial"/>
        <family val="0"/>
        <charset val="1"/>
      </rPr>
      <t xml:space="preserve">TTS </t>
    </r>
    <r>
      <rPr>
        <b val="true"/>
        <sz val="11"/>
        <color rgb="FFFFFFFF"/>
        <rFont val="DejaVu Sans"/>
        <family val="2"/>
      </rPr>
      <t xml:space="preserve">총 글자수</t>
    </r>
  </si>
  <si>
    <t xml:space="preserve">합계</t>
  </si>
  <si>
    <r>
      <rPr>
        <b val="true"/>
        <sz val="12"/>
        <color rgb="FF1F4E79"/>
        <rFont val="Arial"/>
        <family val="0"/>
        <charset val="1"/>
      </rPr>
      <t xml:space="preserve">Firestore </t>
    </r>
    <r>
      <rPr>
        <b val="true"/>
        <sz val="12"/>
        <color rgb="FF1F4E79"/>
        <rFont val="DejaVu Sans"/>
        <family val="2"/>
      </rPr>
      <t xml:space="preserve">액션량 </t>
    </r>
    <r>
      <rPr>
        <b val="true"/>
        <sz val="12"/>
        <color rgb="FF1F4E79"/>
        <rFont val="Arial"/>
        <family val="0"/>
        <charset val="1"/>
      </rPr>
      <t xml:space="preserve">(12</t>
    </r>
    <r>
      <rPr>
        <b val="true"/>
        <sz val="12"/>
        <color rgb="FF1F4E79"/>
        <rFont val="DejaVu Sans"/>
        <family val="2"/>
      </rPr>
      <t xml:space="preserve">주 전체</t>
    </r>
    <r>
      <rPr>
        <b val="true"/>
        <sz val="12"/>
        <color rgb="FF1F4E79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</si>
  <si>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Firestore </t>
    </r>
    <r>
      <rPr>
        <sz val="10"/>
        <rFont val="DejaVu Sans"/>
        <family val="2"/>
      </rPr>
      <t xml:space="preserve">쓰기</t>
    </r>
  </si>
  <si>
    <r>
      <rPr>
        <i val="true"/>
        <sz val="9"/>
        <color rgb="FF808080"/>
        <rFont val="DejaVu Sans"/>
        <family val="2"/>
      </rPr>
      <t xml:space="preserve">유저당 주 </t>
    </r>
    <r>
      <rPr>
        <i val="true"/>
        <sz val="9"/>
        <color rgb="FF808080"/>
        <rFont val="Arial"/>
        <family val="0"/>
        <charset val="1"/>
      </rPr>
      <t xml:space="preserve">60</t>
    </r>
    <r>
      <rPr>
        <i val="true"/>
        <sz val="9"/>
        <color rgb="FF808080"/>
        <rFont val="DejaVu Sans"/>
        <family val="2"/>
      </rPr>
      <t xml:space="preserve">회 </t>
    </r>
    <r>
      <rPr>
        <i val="true"/>
        <sz val="9"/>
        <color rgb="FF808080"/>
        <rFont val="Arial"/>
        <family val="0"/>
        <charset val="1"/>
      </rPr>
      <t xml:space="preserve">× 12</t>
    </r>
    <r>
      <rPr>
        <i val="true"/>
        <sz val="9"/>
        <color rgb="FF808080"/>
        <rFont val="DejaVu Sans"/>
        <family val="2"/>
      </rPr>
      <t xml:space="preserve">주 </t>
    </r>
    <r>
      <rPr>
        <i val="true"/>
        <sz val="9"/>
        <color rgb="FF808080"/>
        <rFont val="Arial"/>
        <family val="0"/>
        <charset val="1"/>
      </rPr>
      <t xml:space="preserve">× </t>
    </r>
    <r>
      <rPr>
        <i val="true"/>
        <sz val="9"/>
        <color rgb="FF808080"/>
        <rFont val="DejaVu Sans"/>
        <family val="2"/>
      </rPr>
      <t xml:space="preserve">활성유저</t>
    </r>
  </si>
  <si>
    <r>
      <rPr>
        <sz val="10"/>
        <rFont val="Arial"/>
        <family val="0"/>
        <charset val="1"/>
      </rPr>
      <t xml:space="preserve">Firestore </t>
    </r>
    <r>
      <rPr>
        <sz val="10"/>
        <rFont val="DejaVu Sans"/>
        <family val="2"/>
      </rPr>
      <t xml:space="preserve">읽기</t>
    </r>
  </si>
  <si>
    <r>
      <rPr>
        <i val="true"/>
        <sz val="9"/>
        <color rgb="FF808080"/>
        <rFont val="DejaVu Sans"/>
        <family val="2"/>
      </rPr>
      <t xml:space="preserve">유저당 주 </t>
    </r>
    <r>
      <rPr>
        <i val="true"/>
        <sz val="9"/>
        <color rgb="FF808080"/>
        <rFont val="Arial"/>
        <family val="0"/>
        <charset val="1"/>
      </rPr>
      <t xml:space="preserve">5</t>
    </r>
    <r>
      <rPr>
        <i val="true"/>
        <sz val="9"/>
        <color rgb="FF808080"/>
        <rFont val="DejaVu Sans"/>
        <family val="2"/>
      </rPr>
      <t xml:space="preserve">회 </t>
    </r>
    <r>
      <rPr>
        <i val="true"/>
        <sz val="9"/>
        <color rgb="FF808080"/>
        <rFont val="Arial"/>
        <family val="0"/>
        <charset val="1"/>
      </rPr>
      <t xml:space="preserve">× 12</t>
    </r>
    <r>
      <rPr>
        <i val="true"/>
        <sz val="9"/>
        <color rgb="FF808080"/>
        <rFont val="DejaVu Sans"/>
        <family val="2"/>
      </rPr>
      <t xml:space="preserve">주 </t>
    </r>
    <r>
      <rPr>
        <i val="true"/>
        <sz val="9"/>
        <color rgb="FF808080"/>
        <rFont val="Arial"/>
        <family val="0"/>
        <charset val="1"/>
      </rPr>
      <t xml:space="preserve">× </t>
    </r>
    <r>
      <rPr>
        <i val="true"/>
        <sz val="9"/>
        <color rgb="FF808080"/>
        <rFont val="DejaVu Sans"/>
        <family val="2"/>
      </rPr>
      <t xml:space="preserve">활성유저</t>
    </r>
  </si>
  <si>
    <r>
      <rPr>
        <sz val="10"/>
        <rFont val="Arial"/>
        <family val="0"/>
        <charset val="1"/>
      </rPr>
      <t xml:space="preserve">Firestore </t>
    </r>
    <r>
      <rPr>
        <sz val="10"/>
        <rFont val="DejaVu Sans"/>
        <family val="2"/>
      </rPr>
      <t xml:space="preserve">저장량 </t>
    </r>
    <r>
      <rPr>
        <sz val="10"/>
        <rFont val="Arial"/>
        <family val="0"/>
        <charset val="1"/>
      </rPr>
      <t xml:space="preserve">(MB)</t>
    </r>
  </si>
  <si>
    <r>
      <rPr>
        <i val="true"/>
        <sz val="9"/>
        <color rgb="FF808080"/>
        <rFont val="DejaVu Sans"/>
        <family val="2"/>
      </rPr>
      <t xml:space="preserve">유저당 </t>
    </r>
    <r>
      <rPr>
        <i val="true"/>
        <sz val="9"/>
        <color rgb="FF808080"/>
        <rFont val="Arial"/>
        <family val="0"/>
        <charset val="1"/>
      </rPr>
      <t xml:space="preserve">30KB × </t>
    </r>
    <r>
      <rPr>
        <i val="true"/>
        <sz val="9"/>
        <color rgb="FF808080"/>
        <rFont val="DejaVu Sans"/>
        <family val="2"/>
      </rPr>
      <t xml:space="preserve">활성유저</t>
    </r>
  </si>
  <si>
    <r>
      <rPr>
        <sz val="10"/>
        <rFont val="Arial"/>
        <family val="0"/>
        <charset val="1"/>
      </rPr>
      <t xml:space="preserve">Cloud Functions </t>
    </r>
    <r>
      <rPr>
        <sz val="10"/>
        <rFont val="DejaVu Sans"/>
        <family val="2"/>
      </rPr>
      <t xml:space="preserve">호출 </t>
    </r>
    <r>
      <rPr>
        <sz val="10"/>
        <rFont val="Arial"/>
        <family val="0"/>
        <charset val="1"/>
      </rPr>
      <t xml:space="preserve">(AI 3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+ TTS)</t>
    </r>
  </si>
  <si>
    <r>
      <rPr>
        <i val="true"/>
        <sz val="9"/>
        <color rgb="FF808080"/>
        <rFont val="Arial"/>
        <family val="0"/>
        <charset val="1"/>
      </rPr>
      <t xml:space="preserve">AI</t>
    </r>
    <r>
      <rPr>
        <i val="true"/>
        <sz val="9"/>
        <color rgb="FF808080"/>
        <rFont val="DejaVu Sans"/>
        <family val="2"/>
      </rPr>
      <t xml:space="preserve">호출 </t>
    </r>
    <r>
      <rPr>
        <i val="true"/>
        <sz val="9"/>
        <color rgb="FF808080"/>
        <rFont val="Arial"/>
        <family val="0"/>
        <charset val="1"/>
      </rPr>
      <t xml:space="preserve">+ TTS</t>
    </r>
    <r>
      <rPr>
        <i val="true"/>
        <sz val="9"/>
        <color rgb="FF808080"/>
        <rFont val="DejaVu Sans"/>
        <family val="2"/>
      </rPr>
      <t xml:space="preserve">호출</t>
    </r>
  </si>
  <si>
    <r>
      <rPr>
        <b val="true"/>
        <sz val="12"/>
        <color rgb="FF1F4E79"/>
        <rFont val="Arial"/>
        <family val="0"/>
        <charset val="1"/>
      </rPr>
      <t xml:space="preserve">TTS </t>
    </r>
    <r>
      <rPr>
        <b val="true"/>
        <sz val="12"/>
        <color rgb="FF1F4E79"/>
        <rFont val="DejaVu Sans"/>
        <family val="2"/>
      </rPr>
      <t xml:space="preserve">총 글자수 요약</t>
    </r>
  </si>
  <si>
    <r>
      <rPr>
        <sz val="10"/>
        <rFont val="Arial"/>
        <family val="0"/>
        <charset val="1"/>
      </rPr>
      <t xml:space="preserve">AI </t>
    </r>
    <r>
      <rPr>
        <sz val="10"/>
        <rFont val="DejaVu Sans"/>
        <family val="2"/>
      </rPr>
      <t xml:space="preserve">응답 </t>
    </r>
    <r>
      <rPr>
        <sz val="10"/>
        <rFont val="Arial"/>
        <family val="0"/>
        <charset val="1"/>
      </rPr>
      <t xml:space="preserve">TTS </t>
    </r>
    <r>
      <rPr>
        <sz val="10"/>
        <rFont val="DejaVu Sans"/>
        <family val="2"/>
      </rPr>
      <t xml:space="preserve">전체 글자수</t>
    </r>
  </si>
  <si>
    <r>
      <rPr>
        <b val="true"/>
        <sz val="16"/>
        <color rgb="FF1F4E79"/>
        <rFont val="DejaVu Sans"/>
        <family val="2"/>
      </rPr>
      <t xml:space="preserve">시나리오별 비용 계산 </t>
    </r>
    <r>
      <rPr>
        <b val="true"/>
        <sz val="16"/>
        <color rgb="FF1F4E79"/>
        <rFont val="Arial"/>
        <family val="0"/>
        <charset val="1"/>
      </rPr>
      <t xml:space="preserve">(USD, 12</t>
    </r>
    <r>
      <rPr>
        <b val="true"/>
        <sz val="16"/>
        <color rgb="FF1F4E79"/>
        <rFont val="DejaVu Sans"/>
        <family val="2"/>
      </rPr>
      <t xml:space="preserve">주 총액</t>
    </r>
    <r>
      <rPr>
        <b val="true"/>
        <sz val="16"/>
        <color rgb="FF1F4E79"/>
        <rFont val="Arial"/>
        <family val="0"/>
        <charset val="1"/>
      </rPr>
      <t xml:space="preserve">)</t>
    </r>
  </si>
  <si>
    <t xml:space="preserve">A: Sonnet 4.5</t>
  </si>
  <si>
    <t xml:space="preserve">B: Haiku 4.5</t>
  </si>
  <si>
    <r>
      <rPr>
        <b val="true"/>
        <sz val="11"/>
        <color rgb="FFFFFFFF"/>
        <rFont val="Arial"/>
        <family val="0"/>
        <charset val="1"/>
      </rPr>
      <t xml:space="preserve">C: Mixed (</t>
    </r>
    <r>
      <rPr>
        <b val="true"/>
        <sz val="11"/>
        <color rgb="FFFFFFFF"/>
        <rFont val="DejaVu Sans"/>
        <family val="2"/>
      </rPr>
      <t xml:space="preserve">권장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</si>
  <si>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계산 방식</t>
  </si>
  <si>
    <r>
      <rPr>
        <b val="true"/>
        <sz val="12"/>
        <color rgb="FF1F4E79"/>
        <rFont val="Arial"/>
        <family val="0"/>
        <charset val="1"/>
      </rPr>
      <t xml:space="preserve">AI </t>
    </r>
    <r>
      <rPr>
        <b val="true"/>
        <sz val="12"/>
        <color rgb="FF1F4E79"/>
        <rFont val="DejaVu Sans"/>
        <family val="2"/>
      </rPr>
      <t xml:space="preserve">모델 비용</t>
    </r>
  </si>
  <si>
    <r>
      <rPr>
        <sz val="10"/>
        <rFont val="Arial"/>
        <family val="0"/>
        <charset val="1"/>
      </rPr>
      <t xml:space="preserve">discussionCoach </t>
    </r>
    <r>
      <rPr>
        <sz val="10"/>
        <rFont val="DejaVu Sans"/>
        <family val="2"/>
      </rPr>
      <t xml:space="preserve">입력</t>
    </r>
  </si>
  <si>
    <r>
      <rPr>
        <i val="true"/>
        <sz val="9"/>
        <color rgb="FF808080"/>
        <rFont val="DejaVu Sans"/>
        <family val="2"/>
      </rPr>
      <t xml:space="preserve">호출량</t>
    </r>
    <r>
      <rPr>
        <i val="true"/>
        <sz val="9"/>
        <color rgb="FF808080"/>
        <rFont val="Arial"/>
        <family val="0"/>
        <charset val="1"/>
      </rPr>
      <t xml:space="preserve">!D5 × </t>
    </r>
    <r>
      <rPr>
        <i val="true"/>
        <sz val="9"/>
        <color rgb="FF808080"/>
        <rFont val="DejaVu Sans"/>
        <family val="2"/>
      </rPr>
      <t xml:space="preserve">단가</t>
    </r>
    <r>
      <rPr>
        <i val="true"/>
        <sz val="9"/>
        <color rgb="FF808080"/>
        <rFont val="Arial"/>
        <family val="0"/>
        <charset val="1"/>
      </rPr>
      <t xml:space="preserve">/1M — Mixed</t>
    </r>
    <r>
      <rPr>
        <i val="true"/>
        <sz val="9"/>
        <color rgb="FF808080"/>
        <rFont val="DejaVu Sans"/>
        <family val="2"/>
      </rPr>
      <t xml:space="preserve">는 </t>
    </r>
    <r>
      <rPr>
        <i val="true"/>
        <sz val="9"/>
        <color rgb="FF808080"/>
        <rFont val="Arial"/>
        <family val="0"/>
        <charset val="1"/>
      </rPr>
      <t xml:space="preserve">Haiku</t>
    </r>
  </si>
  <si>
    <r>
      <rPr>
        <sz val="10"/>
        <rFont val="Arial"/>
        <family val="0"/>
        <charset val="1"/>
      </rPr>
      <t xml:space="preserve">discussionCoach </t>
    </r>
    <r>
      <rPr>
        <sz val="10"/>
        <rFont val="DejaVu Sans"/>
        <family val="2"/>
      </rPr>
      <t xml:space="preserve">출력</t>
    </r>
  </si>
  <si>
    <r>
      <rPr>
        <i val="true"/>
        <sz val="9"/>
        <color rgb="FF808080"/>
        <rFont val="DejaVu Sans"/>
        <family val="2"/>
      </rPr>
      <t xml:space="preserve">호출량</t>
    </r>
    <r>
      <rPr>
        <i val="true"/>
        <sz val="9"/>
        <color rgb="FF808080"/>
        <rFont val="Arial"/>
        <family val="0"/>
        <charset val="1"/>
      </rPr>
      <t xml:space="preserve">!E5 × </t>
    </r>
    <r>
      <rPr>
        <i val="true"/>
        <sz val="9"/>
        <color rgb="FF808080"/>
        <rFont val="DejaVu Sans"/>
        <family val="2"/>
      </rPr>
      <t xml:space="preserve">단가</t>
    </r>
    <r>
      <rPr>
        <i val="true"/>
        <sz val="9"/>
        <color rgb="FF808080"/>
        <rFont val="Arial"/>
        <family val="0"/>
        <charset val="1"/>
      </rPr>
      <t xml:space="preserve">/1M</t>
    </r>
  </si>
  <si>
    <r>
      <rPr>
        <sz val="10"/>
        <rFont val="Arial"/>
        <family val="0"/>
        <charset val="1"/>
      </rPr>
      <t xml:space="preserve">askBook </t>
    </r>
    <r>
      <rPr>
        <sz val="10"/>
        <rFont val="DejaVu Sans"/>
        <family val="2"/>
      </rPr>
      <t xml:space="preserve">입력</t>
    </r>
  </si>
  <si>
    <r>
      <rPr>
        <i val="true"/>
        <sz val="9"/>
        <color rgb="FF808080"/>
        <rFont val="Arial"/>
        <family val="0"/>
        <charset val="1"/>
      </rPr>
      <t xml:space="preserve">Mixed: askBook</t>
    </r>
    <r>
      <rPr>
        <i val="true"/>
        <sz val="9"/>
        <color rgb="FF808080"/>
        <rFont val="DejaVu Sans"/>
        <family val="2"/>
      </rPr>
      <t xml:space="preserve">만 </t>
    </r>
    <r>
      <rPr>
        <i val="true"/>
        <sz val="9"/>
        <color rgb="FF808080"/>
        <rFont val="Arial"/>
        <family val="0"/>
        <charset val="1"/>
      </rPr>
      <t xml:space="preserve">Sonnet — </t>
    </r>
    <r>
      <rPr>
        <i val="true"/>
        <sz val="9"/>
        <color rgb="FF808080"/>
        <rFont val="DejaVu Sans"/>
        <family val="2"/>
      </rPr>
      <t xml:space="preserve">긴 문맥</t>
    </r>
    <r>
      <rPr>
        <i val="true"/>
        <sz val="9"/>
        <color rgb="FF808080"/>
        <rFont val="Arial"/>
        <family val="0"/>
        <charset val="1"/>
      </rPr>
      <t xml:space="preserve">·Q&amp;A </t>
    </r>
    <r>
      <rPr>
        <i val="true"/>
        <sz val="9"/>
        <color rgb="FF808080"/>
        <rFont val="DejaVu Sans"/>
        <family val="2"/>
      </rPr>
      <t xml:space="preserve">품질 중요</t>
    </r>
  </si>
  <si>
    <r>
      <rPr>
        <sz val="10"/>
        <rFont val="Arial"/>
        <family val="0"/>
        <charset val="1"/>
      </rPr>
      <t xml:space="preserve">askBook </t>
    </r>
    <r>
      <rPr>
        <sz val="10"/>
        <rFont val="DejaVu Sans"/>
        <family val="2"/>
      </rPr>
      <t xml:space="preserve">출력</t>
    </r>
  </si>
  <si>
    <r>
      <rPr>
        <sz val="10"/>
        <rFont val="Arial"/>
        <family val="0"/>
        <charset val="1"/>
      </rPr>
      <t xml:space="preserve">recommendBooks </t>
    </r>
    <r>
      <rPr>
        <sz val="10"/>
        <rFont val="DejaVu Sans"/>
        <family val="2"/>
      </rPr>
      <t xml:space="preserve">입력</t>
    </r>
  </si>
  <si>
    <r>
      <rPr>
        <sz val="10"/>
        <rFont val="Arial"/>
        <family val="0"/>
        <charset val="1"/>
      </rPr>
      <t xml:space="preserve">recommendBooks </t>
    </r>
    <r>
      <rPr>
        <sz val="10"/>
        <rFont val="DejaVu Sans"/>
        <family val="2"/>
      </rPr>
      <t xml:space="preserve">출력</t>
    </r>
  </si>
  <si>
    <r>
      <rPr>
        <b val="true"/>
        <sz val="11"/>
        <rFont val="Arial"/>
        <family val="0"/>
        <charset val="1"/>
      </rPr>
      <t xml:space="preserve">AI </t>
    </r>
    <r>
      <rPr>
        <b val="true"/>
        <sz val="11"/>
        <rFont val="DejaVu Sans"/>
        <family val="2"/>
      </rPr>
      <t xml:space="preserve">합계</t>
    </r>
  </si>
  <si>
    <r>
      <rPr>
        <b val="true"/>
        <sz val="12"/>
        <color rgb="FF1F4E79"/>
        <rFont val="Arial"/>
        <family val="0"/>
        <charset val="1"/>
      </rPr>
      <t xml:space="preserve">TTS </t>
    </r>
    <r>
      <rPr>
        <b val="true"/>
        <sz val="12"/>
        <color rgb="FF1F4E79"/>
        <rFont val="DejaVu Sans"/>
        <family val="2"/>
      </rPr>
      <t xml:space="preserve">비용</t>
    </r>
  </si>
  <si>
    <r>
      <rPr>
        <sz val="10"/>
        <rFont val="Arial"/>
        <family val="0"/>
        <charset val="1"/>
      </rPr>
      <t xml:space="preserve">Google WaveNet (</t>
    </r>
    <r>
      <rPr>
        <sz val="10"/>
        <rFont val="DejaVu Sans"/>
        <family val="2"/>
      </rPr>
      <t xml:space="preserve">기본 추정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</si>
  <si>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808080"/>
        <rFont val="DejaVu Sans"/>
        <family val="2"/>
      </rPr>
      <t xml:space="preserve">글자수 </t>
    </r>
    <r>
      <rPr>
        <i val="true"/>
        <sz val="9"/>
        <color rgb="FF808080"/>
        <rFont val="Arial"/>
        <family val="0"/>
        <charset val="1"/>
      </rPr>
      <t xml:space="preserve">× </t>
    </r>
    <r>
      <rPr>
        <i val="true"/>
        <sz val="9"/>
        <color rgb="FF808080"/>
        <rFont val="DejaVu Sans"/>
        <family val="2"/>
      </rPr>
      <t xml:space="preserve">단가</t>
    </r>
    <r>
      <rPr>
        <i val="true"/>
        <sz val="9"/>
        <color rgb="FF808080"/>
        <rFont val="Arial"/>
        <family val="0"/>
        <charset val="1"/>
      </rPr>
      <t xml:space="preserve">/1M — </t>
    </r>
    <r>
      <rPr>
        <i val="true"/>
        <sz val="9"/>
        <color rgb="FF808080"/>
        <rFont val="DejaVu Sans"/>
        <family val="2"/>
      </rPr>
      <t xml:space="preserve">시나리오 상관없이 동일</t>
    </r>
  </si>
  <si>
    <r>
      <rPr>
        <b val="true"/>
        <sz val="12"/>
        <color rgb="FF1F4E79"/>
        <rFont val="Arial"/>
        <family val="0"/>
        <charset val="1"/>
      </rPr>
      <t xml:space="preserve">Firebase </t>
    </r>
    <r>
      <rPr>
        <b val="true"/>
        <sz val="12"/>
        <color rgb="FF1F4E79"/>
        <rFont val="DejaVu Sans"/>
        <family val="2"/>
      </rPr>
      <t xml:space="preserve">비용</t>
    </r>
  </si>
  <si>
    <r>
      <rPr>
        <sz val="10"/>
        <rFont val="Arial"/>
        <family val="0"/>
        <charset val="1"/>
      </rPr>
      <t xml:space="preserve">Cloud Functions </t>
    </r>
    <r>
      <rPr>
        <sz val="10"/>
        <rFont val="DejaVu Sans"/>
        <family val="2"/>
      </rPr>
      <t xml:space="preserve">호출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초과분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</si>
  <si>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808080"/>
        <rFont val="DejaVu Sans"/>
        <family val="2"/>
      </rPr>
      <t xml:space="preserve">무료 월 </t>
    </r>
    <r>
      <rPr>
        <i val="true"/>
        <sz val="9"/>
        <color rgb="FF808080"/>
        <rFont val="Arial"/>
        <family val="0"/>
        <charset val="1"/>
      </rPr>
      <t xml:space="preserve">2M </t>
    </r>
    <r>
      <rPr>
        <i val="true"/>
        <sz val="9"/>
        <color rgb="FF808080"/>
        <rFont val="DejaVu Sans"/>
        <family val="2"/>
      </rPr>
      <t xml:space="preserve">초과분만 과금 </t>
    </r>
    <r>
      <rPr>
        <i val="true"/>
        <sz val="9"/>
        <color rgb="FF808080"/>
        <rFont val="Arial"/>
        <family val="0"/>
        <charset val="1"/>
      </rPr>
      <t xml:space="preserve">/ 100</t>
    </r>
    <r>
      <rPr>
        <i val="true"/>
        <sz val="9"/>
        <color rgb="FF808080"/>
        <rFont val="DejaVu Sans"/>
        <family val="2"/>
      </rPr>
      <t xml:space="preserve">명 베타는 대부분 무료 내</t>
    </r>
  </si>
  <si>
    <r>
      <rPr>
        <sz val="10"/>
        <rFont val="Arial"/>
        <family val="0"/>
        <charset val="1"/>
      </rPr>
      <t xml:space="preserve">Firestore </t>
    </r>
    <r>
      <rPr>
        <sz val="10"/>
        <rFont val="DejaVu Sans"/>
        <family val="2"/>
      </rPr>
      <t xml:space="preserve">쓰기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초과분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</si>
  <si>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808080"/>
        <rFont val="DejaVu Sans"/>
        <family val="2"/>
      </rPr>
      <t xml:space="preserve">일 </t>
    </r>
    <r>
      <rPr>
        <i val="true"/>
        <sz val="9"/>
        <color rgb="FF808080"/>
        <rFont val="Arial"/>
        <family val="0"/>
        <charset val="1"/>
      </rPr>
      <t xml:space="preserve">20K </t>
    </r>
    <r>
      <rPr>
        <i val="true"/>
        <sz val="9"/>
        <color rgb="FF808080"/>
        <rFont val="DejaVu Sans"/>
        <family val="2"/>
      </rPr>
      <t xml:space="preserve">초과분만 과금 </t>
    </r>
    <r>
      <rPr>
        <i val="true"/>
        <sz val="9"/>
        <color rgb="FF808080"/>
        <rFont val="Arial"/>
        <family val="0"/>
        <charset val="1"/>
      </rPr>
      <t xml:space="preserve">/ 100</t>
    </r>
    <r>
      <rPr>
        <i val="true"/>
        <sz val="9"/>
        <color rgb="FF808080"/>
        <rFont val="DejaVu Sans"/>
        <family val="2"/>
      </rPr>
      <t xml:space="preserve">명 베타는 무료 내</t>
    </r>
  </si>
  <si>
    <r>
      <rPr>
        <sz val="10"/>
        <rFont val="Arial"/>
        <family val="0"/>
        <charset val="1"/>
      </rPr>
      <t xml:space="preserve">Firestore </t>
    </r>
    <r>
      <rPr>
        <sz val="10"/>
        <rFont val="DejaVu Sans"/>
        <family val="2"/>
      </rPr>
      <t xml:space="preserve">읽기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초과분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</si>
  <si>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Firestore </t>
    </r>
    <r>
      <rPr>
        <sz val="10"/>
        <rFont val="DejaVu Sans"/>
        <family val="2"/>
      </rPr>
      <t xml:space="preserve">저장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초과분</t>
    </r>
    <r>
      <rPr>
        <sz val="10"/>
        <rFont val="Arial"/>
        <family val="0"/>
        <charset val="1"/>
      </rPr>
      <t xml:space="preserve">)</t>
    </r>
  </si>
  <si>
    <r>
      <rPr>
        <b val="true"/>
        <sz val="11"/>
        <rFont val="Arial"/>
        <family val="0"/>
        <charset val="1"/>
      </rPr>
      <t xml:space="preserve">Firebase </t>
    </r>
    <r>
      <rPr>
        <b val="true"/>
        <sz val="11"/>
        <rFont val="DejaVu Sans"/>
        <family val="2"/>
      </rPr>
      <t xml:space="preserve">합계</t>
    </r>
  </si>
  <si>
    <t xml:space="preserve">대시보드 집계용</t>
  </si>
  <si>
    <t xml:space="preserve">Sonnet</t>
  </si>
  <si>
    <t xml:space="preserve">Haiku</t>
  </si>
  <si>
    <t xml:space="preserve">Mixed</t>
  </si>
  <si>
    <r>
      <rPr>
        <sz val="10"/>
        <rFont val="Arial"/>
        <family val="0"/>
        <charset val="1"/>
      </rPr>
      <t xml:space="preserve">AI API </t>
    </r>
    <r>
      <rPr>
        <sz val="10"/>
        <rFont val="DejaVu Sans"/>
        <family val="2"/>
      </rPr>
      <t xml:space="preserve">합계</t>
    </r>
  </si>
  <si>
    <r>
      <rPr>
        <sz val="10"/>
        <rFont val="Arial"/>
        <family val="0"/>
        <charset val="1"/>
      </rPr>
      <t xml:space="preserve">TTS </t>
    </r>
    <r>
      <rPr>
        <sz val="10"/>
        <rFont val="DejaVu Sans"/>
        <family val="2"/>
      </rPr>
      <t xml:space="preserve">합계</t>
    </r>
  </si>
  <si>
    <r>
      <rPr>
        <sz val="10"/>
        <rFont val="Arial"/>
        <family val="0"/>
        <charset val="1"/>
      </rPr>
      <t xml:space="preserve">Firebase </t>
    </r>
    <r>
      <rPr>
        <sz val="10"/>
        <rFont val="DejaVu Sans"/>
        <family val="2"/>
      </rPr>
      <t xml:space="preserve">합계</t>
    </r>
  </si>
  <si>
    <r>
      <rPr>
        <sz val="10"/>
        <rFont val="DejaVu Sans"/>
        <family val="2"/>
      </rPr>
      <t xml:space="preserve">예비비 </t>
    </r>
    <r>
      <rPr>
        <sz val="10"/>
        <rFont val="Arial"/>
        <family val="0"/>
        <charset val="1"/>
      </rPr>
      <t xml:space="preserve">(AI+TTS+FB</t>
    </r>
    <r>
      <rPr>
        <sz val="10"/>
        <rFont val="DejaVu Sans"/>
        <family val="2"/>
      </rPr>
      <t xml:space="preserve">의 </t>
    </r>
    <r>
      <rPr>
        <sz val="10"/>
        <rFont val="Arial"/>
        <family val="0"/>
        <charset val="1"/>
      </rPr>
      <t xml:space="preserve">10%)</t>
    </r>
  </si>
  <si>
    <r>
      <rPr>
        <b val="true"/>
        <sz val="16"/>
        <color rgb="FF1F4E79"/>
        <rFont val="DejaVu Sans"/>
        <family val="2"/>
      </rPr>
      <t xml:space="preserve">민감도 분석 — 활성 유저 비율에 따른 </t>
    </r>
    <r>
      <rPr>
        <b val="true"/>
        <sz val="16"/>
        <color rgb="FF1F4E79"/>
        <rFont val="Arial"/>
        <family val="0"/>
        <charset val="1"/>
      </rPr>
      <t xml:space="preserve">12</t>
    </r>
    <r>
      <rPr>
        <b val="true"/>
        <sz val="16"/>
        <color rgb="FF1F4E79"/>
        <rFont val="DejaVu Sans"/>
        <family val="2"/>
      </rPr>
      <t xml:space="preserve">주 총 비용 </t>
    </r>
    <r>
      <rPr>
        <b val="true"/>
        <sz val="16"/>
        <color rgb="FF1F4E79"/>
        <rFont val="Arial"/>
        <family val="0"/>
        <charset val="1"/>
      </rPr>
      <t xml:space="preserve">(Mixed </t>
    </r>
    <r>
      <rPr>
        <b val="true"/>
        <sz val="16"/>
        <color rgb="FF1F4E79"/>
        <rFont val="DejaVu Sans"/>
        <family val="2"/>
      </rPr>
      <t xml:space="preserve">시나리오</t>
    </r>
    <r>
      <rPr>
        <b val="true"/>
        <sz val="16"/>
        <color rgb="FF1F4E79"/>
        <rFont val="Arial"/>
        <family val="0"/>
        <charset val="1"/>
      </rPr>
      <t xml:space="preserve">)</t>
    </r>
  </si>
  <si>
    <t xml:space="preserve">활성 유저 비율</t>
  </si>
  <si>
    <r>
      <rPr>
        <sz val="10"/>
        <rFont val="Arial"/>
        <family val="0"/>
        <charset val="1"/>
      </rPr>
      <t xml:space="preserve">Mixed </t>
    </r>
    <r>
      <rPr>
        <sz val="10"/>
        <rFont val="DejaVu Sans"/>
        <family val="2"/>
      </rPr>
      <t xml:space="preserve">총 비용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스케일링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</si>
  <si>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활성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인당 월 비용</t>
    </r>
  </si>
  <si>
    <r>
      <rPr>
        <sz val="10"/>
        <rFont val="DejaVu Sans"/>
        <family val="2"/>
      </rPr>
      <t xml:space="preserve">총 비용 </t>
    </r>
    <r>
      <rPr>
        <sz val="10"/>
        <rFont val="Arial"/>
        <family val="0"/>
        <charset val="1"/>
      </rPr>
      <t xml:space="preserve">KRW (1350</t>
    </r>
    <r>
      <rPr>
        <sz val="10"/>
        <rFont val="DejaVu Sans"/>
        <family val="2"/>
      </rPr>
      <t xml:space="preserve">원</t>
    </r>
    <r>
      <rPr>
        <sz val="10"/>
        <rFont val="Arial"/>
        <family val="0"/>
        <charset val="1"/>
      </rPr>
      <t xml:space="preserve">)</t>
    </r>
  </si>
  <si>
    <r>
      <rPr>
        <b val="true"/>
        <sz val="12"/>
        <color rgb="FF1F4E79"/>
        <rFont val="DejaVu Sans"/>
        <family val="2"/>
      </rPr>
      <t xml:space="preserve">🔥 사용 강도 시나리오 </t>
    </r>
    <r>
      <rPr>
        <b val="true"/>
        <sz val="12"/>
        <color rgb="FF1F4E79"/>
        <rFont val="Arial"/>
        <family val="0"/>
        <charset val="1"/>
      </rPr>
      <t xml:space="preserve">(</t>
    </r>
    <r>
      <rPr>
        <b val="true"/>
        <sz val="12"/>
        <color rgb="FF1F4E79"/>
        <rFont val="DejaVu Sans"/>
        <family val="2"/>
      </rPr>
      <t xml:space="preserve">활성 유저 비율 </t>
    </r>
    <r>
      <rPr>
        <b val="true"/>
        <sz val="12"/>
        <color rgb="FF1F4E79"/>
        <rFont val="Arial"/>
        <family val="0"/>
        <charset val="1"/>
      </rPr>
      <t xml:space="preserve">70% </t>
    </r>
    <r>
      <rPr>
        <b val="true"/>
        <sz val="12"/>
        <color rgb="FF1F4E79"/>
        <rFont val="DejaVu Sans"/>
        <family val="2"/>
      </rPr>
      <t xml:space="preserve">고정</t>
    </r>
    <r>
      <rPr>
        <b val="true"/>
        <sz val="12"/>
        <color rgb="FF1F4E79"/>
        <rFont val="Arial"/>
        <family val="0"/>
        <charset val="1"/>
      </rPr>
      <t xml:space="preserve">, </t>
    </r>
    <r>
      <rPr>
        <b val="true"/>
        <sz val="12"/>
        <color rgb="FF1F4E79"/>
        <rFont val="DejaVu Sans"/>
        <family val="2"/>
      </rPr>
      <t xml:space="preserve">호출량 변동</t>
    </r>
    <r>
      <rPr>
        <b val="true"/>
        <sz val="12"/>
        <color rgb="FF1F4E79"/>
        <rFont val="Arial"/>
        <family val="0"/>
        <charset val="1"/>
      </rPr>
      <t xml:space="preserve">)</t>
    </r>
  </si>
  <si>
    <t xml:space="preserve">시나리오</t>
  </si>
  <si>
    <t xml:space="preserve">호출량 배수</t>
  </si>
  <si>
    <r>
      <rPr>
        <b val="true"/>
        <sz val="11"/>
        <color rgb="FFFFFFFF"/>
        <rFont val="Arial"/>
        <family val="0"/>
        <charset val="1"/>
      </rPr>
      <t xml:space="preserve">Sonnet </t>
    </r>
    <r>
      <rPr>
        <b val="true"/>
        <sz val="11"/>
        <color rgb="FFFFFFFF"/>
        <rFont val="DejaVu Sans"/>
        <family val="2"/>
      </rPr>
      <t xml:space="preserve">총</t>
    </r>
  </si>
  <si>
    <r>
      <rPr>
        <b val="true"/>
        <sz val="11"/>
        <color rgb="FFFFFFFF"/>
        <rFont val="Arial"/>
        <family val="0"/>
        <charset val="1"/>
      </rPr>
      <t xml:space="preserve">Haiku </t>
    </r>
    <r>
      <rPr>
        <b val="true"/>
        <sz val="11"/>
        <color rgb="FFFFFFFF"/>
        <rFont val="DejaVu Sans"/>
        <family val="2"/>
      </rPr>
      <t xml:space="preserve">총</t>
    </r>
  </si>
  <si>
    <r>
      <rPr>
        <b val="true"/>
        <sz val="11"/>
        <color rgb="FFFFFFFF"/>
        <rFont val="Arial"/>
        <family val="0"/>
        <charset val="1"/>
      </rPr>
      <t xml:space="preserve">Mixed </t>
    </r>
    <r>
      <rPr>
        <b val="true"/>
        <sz val="11"/>
        <color rgb="FFFFFFFF"/>
        <rFont val="DejaVu Sans"/>
        <family val="2"/>
      </rPr>
      <t xml:space="preserve">총</t>
    </r>
  </si>
  <si>
    <r>
      <rPr>
        <sz val="10"/>
        <rFont val="DejaVu Sans"/>
        <family val="2"/>
      </rPr>
      <t xml:space="preserve">저강도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가볍게 쓰는 유저 위주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</si>
  <si>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기본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가정값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</si>
  <si>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고강도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하드코어 유저 많음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</si>
  <si>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초고강도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매일 쓰는 유저</t>
    </r>
    <r>
      <rPr>
        <sz val="10"/>
        <rFont val="Arial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</si>
</sst>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%"/>
    <numFmt numFmtId="167" formatCode="\$#,##0.00"/>
    <numFmt numFmtId="168" formatCode="\$#,##0"/>
    <numFmt numFmtId="169" formatCode="\\#,##0"/>
    <numFmt numFmtId="170" formatCode="\$0.00"/>
    <numFmt numFmtId="171" formatCode="\$0.000000"/>
    <numFmt numFmtId="172" formatCode="#,##0.0"/>
    <numFmt numFmtId="173" formatCode="0.0\x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b val="true"/>
      <sz val="16"/>
      <color rgb="FF1F4E79"/>
      <name val="DejaVu Sans"/>
      <family val="2"/>
    </font>
    <font>
      <i val="true"/>
      <sz val="9"/>
      <color rgb="FF808080"/>
      <name val="Arial"/>
      <family val="0"/>
      <charset val="1"/>
    </font>
    <font>
      <i val="true"/>
      <sz val="9"/>
      <color rgb="FF808080"/>
      <name val="DejaVu Sans"/>
      <family val="2"/>
    </font>
    <font>
      <b val="true"/>
      <sz val="12"/>
      <color rgb="FF1F4E79"/>
      <name val="DejaVu Sans"/>
      <family val="2"/>
    </font>
    <font>
      <sz val="10"/>
      <name val="DejaVu Sans"/>
      <family val="2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name val="DejaVu Sans"/>
      <family val="2"/>
    </font>
    <font>
      <b val="true"/>
      <sz val="11"/>
      <name val="Arial"/>
      <family val="0"/>
      <charset val="1"/>
    </font>
    <font>
      <b val="true"/>
      <sz val="10"/>
      <name val="DejaVu Sans"/>
      <family val="2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2F3"/>
        <bgColor rgb="FFD0D0D0"/>
      </patternFill>
    </fill>
    <fill>
      <patternFill patternType="solid">
        <fgColor rgb="FFFFFFE0"/>
        <bgColor rgb="FFFFFFFF"/>
      </patternFill>
    </fill>
    <fill>
      <patternFill patternType="solid">
        <fgColor rgb="FF1F4E79"/>
        <bgColor rgb="FF003366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E0"/>
      <rgbColor rgb="FFD9E2F3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8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1.9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4" t="s">
        <v>3</v>
      </c>
      <c r="B5" s="5" t="n">
        <v>100</v>
      </c>
    </row>
    <row r="6" customFormat="false" ht="15" hidden="false" customHeight="false" outlineLevel="0" collapsed="false">
      <c r="A6" s="4" t="s">
        <v>4</v>
      </c>
      <c r="B6" s="5" t="n">
        <v>12</v>
      </c>
    </row>
    <row r="7" customFormat="false" ht="15" hidden="false" customHeight="false" outlineLevel="0" collapsed="false">
      <c r="A7" s="4" t="s">
        <v>5</v>
      </c>
      <c r="B7" s="6" t="n">
        <v>0.7</v>
      </c>
    </row>
    <row r="8" customFormat="false" ht="15" hidden="false" customHeight="false" outlineLevel="0" collapsed="false">
      <c r="A8" s="4" t="s">
        <v>6</v>
      </c>
      <c r="B8" s="5" t="n">
        <v>3</v>
      </c>
    </row>
    <row r="9" customFormat="false" ht="15" hidden="false" customHeight="false" outlineLevel="0" collapsed="false">
      <c r="A9" s="4" t="s">
        <v>7</v>
      </c>
      <c r="B9" s="7" t="n">
        <f aca="false">B5*B7</f>
        <v>70</v>
      </c>
    </row>
    <row r="11" customFormat="false" ht="15" hidden="false" customHeight="false" outlineLevel="0" collapsed="false">
      <c r="A11" s="3" t="s">
        <v>8</v>
      </c>
      <c r="B11" s="3"/>
      <c r="C11" s="3"/>
      <c r="D11" s="3"/>
      <c r="E11" s="3"/>
      <c r="F11" s="3"/>
    </row>
    <row r="12" customFormat="false" ht="15" hidden="false" customHeight="false" outlineLevel="0" collapsed="false">
      <c r="A12" s="8" t="s">
        <v>9</v>
      </c>
      <c r="B12" s="9" t="s">
        <v>10</v>
      </c>
      <c r="C12" s="9" t="s">
        <v>11</v>
      </c>
      <c r="D12" s="9" t="s">
        <v>12</v>
      </c>
      <c r="E12" s="8"/>
      <c r="F12" s="8"/>
    </row>
    <row r="13" customFormat="false" ht="15" hidden="false" customHeight="false" outlineLevel="0" collapsed="false">
      <c r="A13" s="10" t="s">
        <v>13</v>
      </c>
      <c r="B13" s="11" t="n">
        <f aca="false">시나리오!B23</f>
        <v>87.318</v>
      </c>
      <c r="C13" s="11" t="n">
        <f aca="false">시나리오!C23</f>
        <v>29.106</v>
      </c>
      <c r="D13" s="11" t="n">
        <f aca="false">시나리오!D23</f>
        <v>47.166</v>
      </c>
    </row>
    <row r="14" customFormat="false" ht="15" hidden="false" customHeight="false" outlineLevel="0" collapsed="false">
      <c r="A14" s="10" t="s">
        <v>14</v>
      </c>
      <c r="B14" s="11" t="n">
        <f aca="false">시나리오!B24</f>
        <v>34.272</v>
      </c>
      <c r="C14" s="11" t="n">
        <f aca="false">시나리오!C24</f>
        <v>34.272</v>
      </c>
      <c r="D14" s="11" t="n">
        <f aca="false">시나리오!D24</f>
        <v>34.272</v>
      </c>
    </row>
    <row r="15" customFormat="false" ht="15" hidden="false" customHeight="false" outlineLevel="0" collapsed="false">
      <c r="A15" s="10" t="s">
        <v>15</v>
      </c>
      <c r="B15" s="11" t="n">
        <f aca="false">시나리오!B25</f>
        <v>0</v>
      </c>
      <c r="C15" s="11" t="n">
        <f aca="false">시나리오!C25</f>
        <v>0</v>
      </c>
      <c r="D15" s="11" t="n">
        <f aca="false">시나리오!D25</f>
        <v>0</v>
      </c>
    </row>
    <row r="16" customFormat="false" ht="15" hidden="false" customHeight="false" outlineLevel="0" collapsed="false">
      <c r="A16" s="12" t="s">
        <v>16</v>
      </c>
      <c r="B16" s="11" t="n">
        <f aca="false">시나리오!B26</f>
        <v>12.159</v>
      </c>
      <c r="C16" s="11" t="n">
        <f aca="false">시나리오!C26</f>
        <v>6.3378</v>
      </c>
      <c r="D16" s="11" t="n">
        <f aca="false">시나리오!D26</f>
        <v>8.1438</v>
      </c>
    </row>
    <row r="17" customFormat="false" ht="15" hidden="false" customHeight="false" outlineLevel="0" collapsed="false">
      <c r="A17" s="13" t="s">
        <v>17</v>
      </c>
      <c r="B17" s="14" t="n">
        <f aca="false">SUM(B13:B16)</f>
        <v>133.749</v>
      </c>
      <c r="C17" s="14" t="n">
        <f aca="false">SUM(C13:C16)</f>
        <v>69.7158</v>
      </c>
      <c r="D17" s="14" t="n">
        <f aca="false">SUM(D13:D16)</f>
        <v>89.5818</v>
      </c>
    </row>
    <row r="18" customFormat="false" ht="15" hidden="false" customHeight="false" outlineLevel="0" collapsed="false">
      <c r="A18" s="12" t="s">
        <v>18</v>
      </c>
      <c r="B18" s="15" t="n">
        <f aca="false">B17/3/대시보드!B9</f>
        <v>0.6369</v>
      </c>
      <c r="C18" s="15" t="n">
        <f aca="false">C17/3/대시보드!B9</f>
        <v>0.33198</v>
      </c>
      <c r="D18" s="15" t="n">
        <f aca="false">D17/3/대시보드!B9</f>
        <v>0.42658</v>
      </c>
    </row>
    <row r="19" customFormat="false" ht="15" hidden="false" customHeight="false" outlineLevel="0" collapsed="false">
      <c r="A19" s="12" t="s">
        <v>19</v>
      </c>
      <c r="B19" s="16" t="n">
        <f aca="false">B17*1350</f>
        <v>180561.15</v>
      </c>
      <c r="C19" s="16" t="n">
        <f aca="false">C17*1350</f>
        <v>94116.33</v>
      </c>
      <c r="D19" s="16" t="n">
        <f aca="false">D17*1350</f>
        <v>120935.43</v>
      </c>
    </row>
    <row r="21" customFormat="false" ht="15" hidden="false" customHeight="false" outlineLevel="0" collapsed="false">
      <c r="A21" s="3" t="s">
        <v>20</v>
      </c>
      <c r="B21" s="3"/>
      <c r="C21" s="3"/>
      <c r="D21" s="3"/>
      <c r="E21" s="3"/>
      <c r="F21" s="3"/>
    </row>
    <row r="22" customFormat="false" ht="27.75" hidden="false" customHeight="true" outlineLevel="0" collapsed="false">
      <c r="A22" s="17" t="s">
        <v>21</v>
      </c>
      <c r="B22" s="17"/>
      <c r="C22" s="17"/>
      <c r="D22" s="17"/>
      <c r="E22" s="17"/>
      <c r="F22" s="17"/>
    </row>
    <row r="23" customFormat="false" ht="27.75" hidden="false" customHeight="true" outlineLevel="0" collapsed="false">
      <c r="A23" s="17" t="s">
        <v>22</v>
      </c>
      <c r="B23" s="17"/>
      <c r="C23" s="17"/>
      <c r="D23" s="17"/>
      <c r="E23" s="17"/>
      <c r="F23" s="17"/>
    </row>
    <row r="24" customFormat="false" ht="27.75" hidden="false" customHeight="true" outlineLevel="0" collapsed="false">
      <c r="A24" s="17" t="s">
        <v>23</v>
      </c>
      <c r="B24" s="17"/>
      <c r="C24" s="17"/>
      <c r="D24" s="17"/>
      <c r="E24" s="17"/>
      <c r="F24" s="17"/>
    </row>
    <row r="25" customFormat="false" ht="27.75" hidden="false" customHeight="true" outlineLevel="0" collapsed="false">
      <c r="A25" s="17" t="s">
        <v>24</v>
      </c>
      <c r="B25" s="17"/>
      <c r="C25" s="17"/>
      <c r="D25" s="17"/>
      <c r="E25" s="17"/>
      <c r="F25" s="17"/>
    </row>
    <row r="26" customFormat="false" ht="27.75" hidden="false" customHeight="true" outlineLevel="0" collapsed="false">
      <c r="A26" s="17" t="s">
        <v>25</v>
      </c>
      <c r="B26" s="17"/>
      <c r="C26" s="17"/>
      <c r="D26" s="17"/>
      <c r="E26" s="17"/>
      <c r="F26" s="17"/>
    </row>
    <row r="27" customFormat="false" ht="27.75" hidden="false" customHeight="true" outlineLevel="0" collapsed="false">
      <c r="A27" s="17" t="s">
        <v>26</v>
      </c>
      <c r="B27" s="17"/>
      <c r="C27" s="17"/>
      <c r="D27" s="17"/>
      <c r="E27" s="17"/>
      <c r="F27" s="17"/>
    </row>
  </sheetData>
  <mergeCells count="11">
    <mergeCell ref="A1:F1"/>
    <mergeCell ref="A2:F2"/>
    <mergeCell ref="A4:F4"/>
    <mergeCell ref="A11:F11"/>
    <mergeCell ref="A21:F21"/>
    <mergeCell ref="A22:F22"/>
    <mergeCell ref="A23:F23"/>
    <mergeCell ref="A24:F24"/>
    <mergeCell ref="A25:F25"/>
    <mergeCell ref="A26:F26"/>
    <mergeCell ref="A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14"/>
    <col collapsed="false" customWidth="true" hidden="false" outlineLevel="0" max="5" min="5" style="0" width="40"/>
  </cols>
  <sheetData>
    <row r="1" customFormat="false" ht="21.75" hidden="false" customHeight="true" outlineLevel="0" collapsed="false">
      <c r="A1" s="18" t="s">
        <v>27</v>
      </c>
      <c r="B1" s="18"/>
      <c r="C1" s="18"/>
      <c r="D1" s="18"/>
      <c r="E1" s="18"/>
      <c r="F1" s="18"/>
    </row>
    <row r="3" customFormat="false" ht="15" hidden="false" customHeight="false" outlineLevel="0" collapsed="false">
      <c r="A3" s="3" t="s">
        <v>28</v>
      </c>
      <c r="B3" s="3"/>
      <c r="C3" s="3"/>
      <c r="D3" s="3"/>
      <c r="E3" s="3"/>
      <c r="F3" s="3"/>
    </row>
    <row r="4" customFormat="false" ht="15" hidden="false" customHeight="false" outlineLevel="0" collapsed="false">
      <c r="A4" s="8" t="s">
        <v>29</v>
      </c>
      <c r="B4" s="8" t="s">
        <v>30</v>
      </c>
      <c r="C4" s="8" t="s">
        <v>31</v>
      </c>
      <c r="E4" s="8" t="s">
        <v>32</v>
      </c>
    </row>
    <row r="5" customFormat="false" ht="15" hidden="false" customHeight="false" outlineLevel="0" collapsed="false">
      <c r="A5" s="19" t="s">
        <v>33</v>
      </c>
      <c r="B5" s="20" t="n">
        <v>3</v>
      </c>
      <c r="C5" s="20" t="n">
        <v>15</v>
      </c>
      <c r="E5" s="21" t="s">
        <v>34</v>
      </c>
    </row>
    <row r="6" customFormat="false" ht="15" hidden="false" customHeight="false" outlineLevel="0" collapsed="false">
      <c r="A6" s="19" t="s">
        <v>35</v>
      </c>
      <c r="B6" s="20" t="n">
        <v>1</v>
      </c>
      <c r="C6" s="20" t="n">
        <v>5</v>
      </c>
      <c r="E6" s="21" t="s">
        <v>36</v>
      </c>
    </row>
    <row r="7" customFormat="false" ht="15" hidden="false" customHeight="false" outlineLevel="0" collapsed="false">
      <c r="A7" s="19" t="s">
        <v>37</v>
      </c>
      <c r="B7" s="20" t="n">
        <v>15</v>
      </c>
      <c r="C7" s="20" t="n">
        <v>75</v>
      </c>
      <c r="E7" s="21" t="s">
        <v>38</v>
      </c>
    </row>
    <row r="10" customFormat="false" ht="15" hidden="false" customHeight="false" outlineLevel="0" collapsed="false">
      <c r="A10" s="22" t="s">
        <v>39</v>
      </c>
      <c r="B10" s="22"/>
      <c r="C10" s="22"/>
      <c r="D10" s="22"/>
      <c r="E10" s="22"/>
      <c r="F10" s="22"/>
    </row>
    <row r="11" customFormat="false" ht="15" hidden="false" customHeight="false" outlineLevel="0" collapsed="false">
      <c r="A11" s="19" t="s">
        <v>40</v>
      </c>
      <c r="B11" s="20" t="n">
        <v>4</v>
      </c>
      <c r="E11" s="21" t="s">
        <v>41</v>
      </c>
    </row>
    <row r="12" customFormat="false" ht="15" hidden="false" customHeight="false" outlineLevel="0" collapsed="false">
      <c r="A12" s="19" t="s">
        <v>42</v>
      </c>
      <c r="B12" s="20" t="n">
        <v>16</v>
      </c>
      <c r="E12" s="21" t="s">
        <v>43</v>
      </c>
    </row>
    <row r="14" customFormat="false" ht="15" hidden="false" customHeight="false" outlineLevel="0" collapsed="false">
      <c r="A14" s="22" t="s">
        <v>44</v>
      </c>
      <c r="B14" s="22"/>
      <c r="C14" s="22"/>
      <c r="D14" s="22"/>
      <c r="E14" s="22"/>
      <c r="F14" s="22"/>
    </row>
    <row r="15" customFormat="false" ht="15" hidden="false" customHeight="false" outlineLevel="0" collapsed="false">
      <c r="A15" s="8" t="s">
        <v>45</v>
      </c>
      <c r="B15" s="8" t="s">
        <v>46</v>
      </c>
      <c r="C15" s="8" t="s">
        <v>47</v>
      </c>
      <c r="D15" s="8" t="s">
        <v>48</v>
      </c>
      <c r="E15" s="8" t="s">
        <v>49</v>
      </c>
    </row>
    <row r="16" customFormat="false" ht="15" hidden="false" customHeight="false" outlineLevel="0" collapsed="false">
      <c r="A16" s="10" t="s">
        <v>50</v>
      </c>
      <c r="B16" s="5" t="n">
        <v>650</v>
      </c>
      <c r="C16" s="5" t="n">
        <v>150</v>
      </c>
      <c r="D16" s="5" t="n">
        <v>120</v>
      </c>
      <c r="E16" s="23" t="s">
        <v>51</v>
      </c>
    </row>
    <row r="17" customFormat="false" ht="15" hidden="false" customHeight="false" outlineLevel="0" collapsed="false">
      <c r="A17" s="10" t="s">
        <v>52</v>
      </c>
      <c r="B17" s="5" t="n">
        <v>1150</v>
      </c>
      <c r="C17" s="5" t="n">
        <v>200</v>
      </c>
      <c r="D17" s="5" t="n">
        <v>150</v>
      </c>
      <c r="E17" s="23" t="s">
        <v>53</v>
      </c>
    </row>
    <row r="18" customFormat="false" ht="15" hidden="false" customHeight="false" outlineLevel="0" collapsed="false">
      <c r="A18" s="10" t="s">
        <v>54</v>
      </c>
      <c r="B18" s="5" t="n">
        <v>400</v>
      </c>
      <c r="C18" s="5" t="n">
        <v>500</v>
      </c>
      <c r="D18" s="5" t="n">
        <v>0</v>
      </c>
      <c r="E18" s="23" t="s">
        <v>55</v>
      </c>
    </row>
    <row r="20" customFormat="false" ht="15" hidden="false" customHeight="false" outlineLevel="0" collapsed="false">
      <c r="A20" s="3" t="s">
        <v>56</v>
      </c>
      <c r="B20" s="3"/>
      <c r="C20" s="3"/>
      <c r="D20" s="3"/>
      <c r="E20" s="3"/>
      <c r="F20" s="3"/>
    </row>
    <row r="21" customFormat="false" ht="15" hidden="false" customHeight="false" outlineLevel="0" collapsed="false">
      <c r="A21" s="8" t="s">
        <v>45</v>
      </c>
      <c r="B21" s="8" t="s">
        <v>57</v>
      </c>
      <c r="C21" s="9" t="s">
        <v>58</v>
      </c>
      <c r="D21" s="8" t="s">
        <v>32</v>
      </c>
    </row>
    <row r="22" customFormat="false" ht="15" hidden="false" customHeight="false" outlineLevel="0" collapsed="false">
      <c r="A22" s="10" t="s">
        <v>59</v>
      </c>
      <c r="B22" s="5" t="n">
        <v>15</v>
      </c>
      <c r="C22" s="24" t="n">
        <f aca="false">B22*대시보드!B6</f>
        <v>180</v>
      </c>
      <c r="D22" s="23" t="s">
        <v>60</v>
      </c>
    </row>
    <row r="23" customFormat="false" ht="15" hidden="false" customHeight="false" outlineLevel="0" collapsed="false">
      <c r="A23" s="10" t="s">
        <v>61</v>
      </c>
      <c r="B23" s="5" t="n">
        <v>5</v>
      </c>
      <c r="C23" s="24" t="n">
        <f aca="false">B23*대시보드!B6</f>
        <v>60</v>
      </c>
      <c r="D23" s="23" t="s">
        <v>62</v>
      </c>
    </row>
    <row r="24" customFormat="false" ht="15" hidden="false" customHeight="false" outlineLevel="0" collapsed="false">
      <c r="A24" s="10" t="s">
        <v>63</v>
      </c>
      <c r="B24" s="5" t="n">
        <v>1</v>
      </c>
      <c r="C24" s="24" t="n">
        <f aca="false">B24*대시보드!B6</f>
        <v>12</v>
      </c>
      <c r="D24" s="23" t="s">
        <v>64</v>
      </c>
    </row>
    <row r="26" customFormat="false" ht="15" hidden="false" customHeight="false" outlineLevel="0" collapsed="false">
      <c r="A26" s="22" t="s">
        <v>65</v>
      </c>
      <c r="B26" s="22"/>
      <c r="C26" s="22"/>
      <c r="D26" s="22"/>
      <c r="E26" s="22"/>
      <c r="F26" s="22"/>
    </row>
    <row r="27" customFormat="false" ht="15" hidden="false" customHeight="false" outlineLevel="0" collapsed="false">
      <c r="A27" s="19" t="s">
        <v>66</v>
      </c>
      <c r="B27" s="21" t="s">
        <v>67</v>
      </c>
      <c r="C27" s="25" t="n">
        <v>0.4</v>
      </c>
      <c r="E27" s="21" t="s">
        <v>68</v>
      </c>
    </row>
    <row r="28" customFormat="false" ht="15" hidden="false" customHeight="false" outlineLevel="0" collapsed="false">
      <c r="A28" s="19" t="s">
        <v>69</v>
      </c>
      <c r="B28" s="26" t="s">
        <v>70</v>
      </c>
      <c r="C28" s="25" t="n">
        <v>2.5E-006</v>
      </c>
      <c r="E28" s="21" t="s">
        <v>71</v>
      </c>
    </row>
    <row r="29" customFormat="false" ht="15" hidden="false" customHeight="false" outlineLevel="0" collapsed="false">
      <c r="A29" s="19" t="s">
        <v>72</v>
      </c>
      <c r="B29" s="26" t="s">
        <v>73</v>
      </c>
      <c r="C29" s="25" t="n">
        <v>0.18</v>
      </c>
      <c r="E29" s="26" t="s">
        <v>74</v>
      </c>
    </row>
    <row r="30" customFormat="false" ht="15" hidden="false" customHeight="false" outlineLevel="0" collapsed="false">
      <c r="A30" s="19" t="s">
        <v>75</v>
      </c>
      <c r="B30" s="26" t="s">
        <v>76</v>
      </c>
      <c r="C30" s="25" t="n">
        <v>0.06</v>
      </c>
      <c r="E30" s="21" t="s">
        <v>77</v>
      </c>
    </row>
    <row r="31" customFormat="false" ht="15" hidden="false" customHeight="false" outlineLevel="0" collapsed="false">
      <c r="A31" s="19" t="s">
        <v>78</v>
      </c>
      <c r="B31" s="26" t="s">
        <v>79</v>
      </c>
      <c r="C31" s="25" t="n">
        <v>0.18</v>
      </c>
      <c r="E31" s="21" t="s">
        <v>80</v>
      </c>
    </row>
    <row r="32" customFormat="false" ht="15" hidden="false" customHeight="false" outlineLevel="0" collapsed="false">
      <c r="A32" s="19" t="s">
        <v>81</v>
      </c>
      <c r="B32" s="26" t="s">
        <v>82</v>
      </c>
      <c r="C32" s="25" t="n">
        <v>0</v>
      </c>
      <c r="E32" s="26" t="s">
        <v>83</v>
      </c>
    </row>
  </sheetData>
  <mergeCells count="6">
    <mergeCell ref="A1:F1"/>
    <mergeCell ref="A3:F3"/>
    <mergeCell ref="A10:F10"/>
    <mergeCell ref="A14:F14"/>
    <mergeCell ref="A20:F20"/>
    <mergeCell ref="A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4"/>
  </cols>
  <sheetData>
    <row r="1" customFormat="false" ht="21.75" hidden="false" customHeight="true" outlineLevel="0" collapsed="false">
      <c r="A1" s="18" t="s">
        <v>84</v>
      </c>
      <c r="B1" s="18"/>
      <c r="C1" s="18"/>
      <c r="D1" s="18"/>
      <c r="E1" s="18"/>
      <c r="F1" s="18"/>
    </row>
    <row r="3" customFormat="false" ht="15" hidden="false" customHeight="false" outlineLevel="0" collapsed="false">
      <c r="A3" s="22" t="s">
        <v>85</v>
      </c>
      <c r="B3" s="22"/>
      <c r="C3" s="22"/>
      <c r="D3" s="22"/>
      <c r="E3" s="22"/>
      <c r="F3" s="22"/>
    </row>
    <row r="4" customFormat="false" ht="15" hidden="false" customHeight="false" outlineLevel="0" collapsed="false">
      <c r="A4" s="8" t="s">
        <v>45</v>
      </c>
      <c r="B4" s="9" t="s">
        <v>86</v>
      </c>
      <c r="C4" s="8" t="s">
        <v>87</v>
      </c>
      <c r="D4" s="8" t="s">
        <v>88</v>
      </c>
      <c r="E4" s="8" t="s">
        <v>89</v>
      </c>
      <c r="F4" s="9" t="s">
        <v>90</v>
      </c>
    </row>
    <row r="5" customFormat="false" ht="15" hidden="false" customHeight="false" outlineLevel="0" collapsed="false">
      <c r="A5" s="10" t="s">
        <v>59</v>
      </c>
      <c r="B5" s="27" t="n">
        <f aca="false">가정!C22</f>
        <v>180</v>
      </c>
      <c r="C5" s="24" t="n">
        <f aca="false">B5*대시보드!B9</f>
        <v>12600</v>
      </c>
      <c r="D5" s="24" t="n">
        <f aca="false">C5*가정!B16</f>
        <v>8190000</v>
      </c>
      <c r="E5" s="24" t="n">
        <f aca="false">C5*가정!C16</f>
        <v>1890000</v>
      </c>
      <c r="F5" s="24" t="n">
        <f aca="false">C5*가정!D16</f>
        <v>1512000</v>
      </c>
    </row>
    <row r="6" customFormat="false" ht="15" hidden="false" customHeight="false" outlineLevel="0" collapsed="false">
      <c r="A6" s="10" t="s">
        <v>61</v>
      </c>
      <c r="B6" s="27" t="n">
        <f aca="false">가정!C23</f>
        <v>60</v>
      </c>
      <c r="C6" s="24" t="n">
        <f aca="false">B6*대시보드!B9</f>
        <v>4200</v>
      </c>
      <c r="D6" s="24" t="n">
        <f aca="false">C6*가정!B17</f>
        <v>4830000</v>
      </c>
      <c r="E6" s="24" t="n">
        <f aca="false">C6*가정!C17</f>
        <v>840000</v>
      </c>
      <c r="F6" s="24" t="n">
        <f aca="false">C6*가정!D17</f>
        <v>630000</v>
      </c>
    </row>
    <row r="7" customFormat="false" ht="15" hidden="false" customHeight="false" outlineLevel="0" collapsed="false">
      <c r="A7" s="10" t="s">
        <v>63</v>
      </c>
      <c r="B7" s="27" t="n">
        <f aca="false">가정!C24</f>
        <v>12</v>
      </c>
      <c r="C7" s="24" t="n">
        <f aca="false">B7*대시보드!B9</f>
        <v>840</v>
      </c>
      <c r="D7" s="24" t="n">
        <f aca="false">C7*가정!B18</f>
        <v>336000</v>
      </c>
      <c r="E7" s="24" t="n">
        <f aca="false">C7*가정!C18</f>
        <v>420000</v>
      </c>
      <c r="F7" s="24" t="n">
        <f aca="false">C7*가정!D18</f>
        <v>0</v>
      </c>
    </row>
    <row r="8" customFormat="false" ht="15" hidden="false" customHeight="false" outlineLevel="0" collapsed="false">
      <c r="A8" s="28" t="s">
        <v>91</v>
      </c>
      <c r="B8" s="29"/>
      <c r="C8" s="30" t="n">
        <f aca="false">SUM(C5:C7)</f>
        <v>17640</v>
      </c>
      <c r="D8" s="30" t="n">
        <f aca="false">SUM(D5:D7)</f>
        <v>13356000</v>
      </c>
      <c r="E8" s="30" t="n">
        <f aca="false">SUM(E5:E7)</f>
        <v>3150000</v>
      </c>
      <c r="F8" s="30" t="n">
        <f aca="false">SUM(F5:F7)</f>
        <v>2142000</v>
      </c>
    </row>
    <row r="11" customFormat="false" ht="15" hidden="false" customHeight="false" outlineLevel="0" collapsed="false">
      <c r="A11" s="22" t="s">
        <v>92</v>
      </c>
      <c r="B11" s="22"/>
      <c r="C11" s="22"/>
      <c r="D11" s="22"/>
      <c r="E11" s="22"/>
      <c r="F11" s="22"/>
    </row>
    <row r="12" customFormat="false" ht="15" hidden="false" customHeight="false" outlineLevel="0" collapsed="false">
      <c r="A12" s="10" t="s">
        <v>93</v>
      </c>
      <c r="B12" s="23" t="s">
        <v>94</v>
      </c>
      <c r="C12" s="31" t="n">
        <f aca="false">60*대시보드!B6*대시보드!B9</f>
        <v>50400</v>
      </c>
    </row>
    <row r="13" customFormat="false" ht="15" hidden="false" customHeight="false" outlineLevel="0" collapsed="false">
      <c r="A13" s="10" t="s">
        <v>95</v>
      </c>
      <c r="B13" s="23" t="s">
        <v>96</v>
      </c>
      <c r="C13" s="31" t="n">
        <f aca="false">5*대시보드!B6*대시보드!B9</f>
        <v>4200</v>
      </c>
    </row>
    <row r="14" customFormat="false" ht="15" hidden="false" customHeight="false" outlineLevel="0" collapsed="false">
      <c r="A14" s="10" t="s">
        <v>97</v>
      </c>
      <c r="B14" s="23" t="s">
        <v>98</v>
      </c>
      <c r="C14" s="31" t="n">
        <f aca="false">30*대시보드!B9/1024</f>
        <v>2.05078125</v>
      </c>
    </row>
    <row r="15" customFormat="false" ht="15" hidden="false" customHeight="false" outlineLevel="0" collapsed="false">
      <c r="A15" s="10" t="s">
        <v>99</v>
      </c>
      <c r="B15" s="32" t="s">
        <v>100</v>
      </c>
      <c r="C15" s="31" t="n">
        <f aca="false">C5+C6+C7+C14</f>
        <v>17642.05078125</v>
      </c>
    </row>
    <row r="17" customFormat="false" ht="15" hidden="false" customHeight="false" outlineLevel="0" collapsed="false">
      <c r="A17" s="22" t="s">
        <v>101</v>
      </c>
      <c r="B17" s="22"/>
      <c r="C17" s="22"/>
      <c r="D17" s="22"/>
      <c r="E17" s="22"/>
      <c r="F17" s="22"/>
    </row>
    <row r="18" customFormat="false" ht="15" hidden="false" customHeight="false" outlineLevel="0" collapsed="false">
      <c r="A18" s="10" t="s">
        <v>102</v>
      </c>
      <c r="C18" s="24" t="n">
        <f aca="false">F8</f>
        <v>2142000</v>
      </c>
    </row>
  </sheetData>
  <mergeCells count="4">
    <mergeCell ref="A1:F1"/>
    <mergeCell ref="A3:F3"/>
    <mergeCell ref="A11:F11"/>
    <mergeCell ref="A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  <col collapsed="false" customWidth="true" hidden="false" outlineLevel="0" max="5" min="5" style="0" width="45"/>
  </cols>
  <sheetData>
    <row r="1" customFormat="false" ht="21.75" hidden="false" customHeight="true" outlineLevel="0" collapsed="false">
      <c r="A1" s="18" t="s">
        <v>103</v>
      </c>
      <c r="B1" s="18"/>
      <c r="C1" s="18"/>
      <c r="D1" s="18"/>
      <c r="E1" s="18"/>
      <c r="F1" s="18"/>
    </row>
    <row r="3" customFormat="false" ht="15" hidden="false" customHeight="false" outlineLevel="0" collapsed="false">
      <c r="A3" s="8" t="s">
        <v>9</v>
      </c>
      <c r="B3" s="9" t="s">
        <v>104</v>
      </c>
      <c r="C3" s="9" t="s">
        <v>105</v>
      </c>
      <c r="D3" s="9" t="s">
        <v>106</v>
      </c>
      <c r="E3" s="8" t="s">
        <v>107</v>
      </c>
    </row>
    <row r="4" customFormat="false" ht="15" hidden="false" customHeight="false" outlineLevel="0" collapsed="false">
      <c r="A4" s="22" t="s">
        <v>108</v>
      </c>
      <c r="B4" s="22"/>
      <c r="C4" s="22"/>
      <c r="D4" s="22"/>
      <c r="E4" s="22"/>
      <c r="F4" s="22"/>
    </row>
    <row r="5" customFormat="false" ht="15" hidden="false" customHeight="false" outlineLevel="0" collapsed="false">
      <c r="A5" s="10" t="s">
        <v>109</v>
      </c>
      <c r="B5" s="11" t="n">
        <f aca="false">호출량!D5/1000000*가정!B5</f>
        <v>24.57</v>
      </c>
      <c r="C5" s="11" t="n">
        <f aca="false">호출량!D5/1000000*가정!B6</f>
        <v>8.19</v>
      </c>
      <c r="D5" s="11" t="n">
        <f aca="false">호출량!D5/1000000*가정!B6</f>
        <v>8.19</v>
      </c>
      <c r="E5" s="23" t="s">
        <v>110</v>
      </c>
    </row>
    <row r="6" customFormat="false" ht="15" hidden="false" customHeight="false" outlineLevel="0" collapsed="false">
      <c r="A6" s="10" t="s">
        <v>111</v>
      </c>
      <c r="B6" s="11" t="n">
        <f aca="false">호출량!E5/1000000*가정!C5</f>
        <v>28.35</v>
      </c>
      <c r="C6" s="11" t="n">
        <f aca="false">호출량!E5/1000000*가정!C6</f>
        <v>9.45</v>
      </c>
      <c r="D6" s="11" t="n">
        <f aca="false">호출량!E5/1000000*가정!C6</f>
        <v>9.45</v>
      </c>
      <c r="E6" s="23" t="s">
        <v>112</v>
      </c>
    </row>
    <row r="7" customFormat="false" ht="15" hidden="false" customHeight="false" outlineLevel="0" collapsed="false">
      <c r="A7" s="10" t="s">
        <v>113</v>
      </c>
      <c r="B7" s="11" t="n">
        <f aca="false">호출량!D6/1000000*가정!B5</f>
        <v>14.49</v>
      </c>
      <c r="C7" s="11" t="n">
        <f aca="false">호출량!D6/1000000*가정!B6</f>
        <v>4.83</v>
      </c>
      <c r="D7" s="11" t="n">
        <f aca="false">호출량!D6/1000000*가정!B5</f>
        <v>14.49</v>
      </c>
      <c r="E7" s="32" t="s">
        <v>114</v>
      </c>
    </row>
    <row r="8" customFormat="false" ht="15" hidden="false" customHeight="false" outlineLevel="0" collapsed="false">
      <c r="A8" s="10" t="s">
        <v>115</v>
      </c>
      <c r="B8" s="11" t="n">
        <f aca="false">호출량!E6/1000000*가정!C5</f>
        <v>12.6</v>
      </c>
      <c r="C8" s="11" t="n">
        <f aca="false">호출량!E6/1000000*가정!C6</f>
        <v>4.2</v>
      </c>
      <c r="D8" s="11" t="n">
        <f aca="false">호출량!E6/1000000*가정!C5</f>
        <v>12.6</v>
      </c>
      <c r="E8" s="29"/>
    </row>
    <row r="9" customFormat="false" ht="15" hidden="false" customHeight="false" outlineLevel="0" collapsed="false">
      <c r="A9" s="10" t="s">
        <v>116</v>
      </c>
      <c r="B9" s="11" t="n">
        <f aca="false">호출량!D7/1000000*가정!B5</f>
        <v>1.008</v>
      </c>
      <c r="C9" s="11" t="n">
        <f aca="false">호출량!D7/1000000*가정!B6</f>
        <v>0.336</v>
      </c>
      <c r="D9" s="11" t="n">
        <f aca="false">호출량!D7/1000000*가정!B6</f>
        <v>0.336</v>
      </c>
      <c r="E9" s="29"/>
    </row>
    <row r="10" customFormat="false" ht="15" hidden="false" customHeight="false" outlineLevel="0" collapsed="false">
      <c r="A10" s="10" t="s">
        <v>117</v>
      </c>
      <c r="B10" s="11" t="n">
        <f aca="false">호출량!E7/1000000*가정!C5</f>
        <v>6.3</v>
      </c>
      <c r="C10" s="11" t="n">
        <f aca="false">호출량!E7/1000000*가정!C6</f>
        <v>2.1</v>
      </c>
      <c r="D10" s="11" t="n">
        <f aca="false">호출량!E7/1000000*가정!C6</f>
        <v>2.1</v>
      </c>
      <c r="E10" s="29"/>
    </row>
    <row r="11" customFormat="false" ht="15" hidden="false" customHeight="false" outlineLevel="0" collapsed="false">
      <c r="A11" s="33" t="s">
        <v>118</v>
      </c>
      <c r="B11" s="34" t="n">
        <f aca="false">SUM(B5:B10)</f>
        <v>87.318</v>
      </c>
      <c r="C11" s="34" t="n">
        <f aca="false">SUM(C5:C10)</f>
        <v>29.106</v>
      </c>
      <c r="D11" s="34" t="n">
        <f aca="false">SUM(D5:D10)</f>
        <v>47.166</v>
      </c>
      <c r="E11" s="29"/>
    </row>
    <row r="13" customFormat="false" ht="15" hidden="false" customHeight="false" outlineLevel="0" collapsed="false">
      <c r="A13" s="22" t="s">
        <v>119</v>
      </c>
      <c r="B13" s="22"/>
      <c r="C13" s="22"/>
      <c r="D13" s="22"/>
      <c r="E13" s="22"/>
      <c r="F13" s="22"/>
    </row>
    <row r="14" customFormat="false" ht="15" hidden="false" customHeight="false" outlineLevel="0" collapsed="false">
      <c r="A14" s="10" t="s">
        <v>120</v>
      </c>
      <c r="B14" s="11" t="n">
        <f aca="false">호출량!C18/1000000*가정!B12</f>
        <v>34.272</v>
      </c>
      <c r="C14" s="11" t="n">
        <f aca="false">호출량!C18/1000000*가정!B12</f>
        <v>34.272</v>
      </c>
      <c r="D14" s="11" t="n">
        <f aca="false">호출량!C18/1000000*가정!B12</f>
        <v>34.272</v>
      </c>
      <c r="E14" s="23" t="s">
        <v>121</v>
      </c>
    </row>
    <row r="16" customFormat="false" ht="15" hidden="false" customHeight="false" outlineLevel="0" collapsed="false">
      <c r="A16" s="22" t="s">
        <v>122</v>
      </c>
      <c r="B16" s="22"/>
      <c r="C16" s="22"/>
      <c r="D16" s="22"/>
      <c r="E16" s="22"/>
      <c r="F16" s="22"/>
    </row>
    <row r="17" customFormat="false" ht="15" hidden="false" customHeight="false" outlineLevel="0" collapsed="false">
      <c r="A17" s="10" t="s">
        <v>123</v>
      </c>
      <c r="B17" s="11" t="n">
        <f aca="false">MAX(호출량!C15/3-2000000,0)*3/1000000*가정!C27</f>
        <v>0</v>
      </c>
      <c r="C17" s="11" t="n">
        <f aca="false">MAX(호출량!C15/3-2000000,0)*3/1000000*가정!C27</f>
        <v>0</v>
      </c>
      <c r="D17" s="11" t="n">
        <f aca="false">MAX(호출량!C15/3-2000000,0)*3/1000000*가정!C27</f>
        <v>0</v>
      </c>
      <c r="E17" s="23" t="s">
        <v>124</v>
      </c>
    </row>
    <row r="18" customFormat="false" ht="15" hidden="false" customHeight="false" outlineLevel="0" collapsed="false">
      <c r="A18" s="10" t="s">
        <v>125</v>
      </c>
      <c r="B18" s="11" t="n">
        <f aca="false">MAX(호출량!C12/(대시보드!B6*7)-20000,0)*대시보드!B6*7/100000*가정!C29</f>
        <v>0</v>
      </c>
      <c r="C18" s="11" t="n">
        <f aca="false">MAX(호출량!C12/(대시보드!B6*7)-20000,0)*대시보드!B6*7/100000*가정!C29</f>
        <v>0</v>
      </c>
      <c r="D18" s="11" t="n">
        <f aca="false">MAX(호출량!C12/(대시보드!B6*7)-20000,0)*대시보드!B6*7/100000*가정!C29</f>
        <v>0</v>
      </c>
      <c r="E18" s="23" t="s">
        <v>126</v>
      </c>
    </row>
    <row r="19" customFormat="false" ht="15" hidden="false" customHeight="false" outlineLevel="0" collapsed="false">
      <c r="A19" s="10" t="s">
        <v>127</v>
      </c>
      <c r="B19" s="11" t="n">
        <f aca="false">MAX(호출량!C13/(대시보드!B6*7)-50000,0)*대시보드!B6*7/100000*가정!C30</f>
        <v>0</v>
      </c>
      <c r="C19" s="11" t="n">
        <f aca="false">MAX(호출량!C13/(대시보드!B6*7)-50000,0)*대시보드!B6*7/100000*가정!C30</f>
        <v>0</v>
      </c>
      <c r="D19" s="11" t="n">
        <f aca="false">MAX(호출량!C13/(대시보드!B6*7)-50000,0)*대시보드!B6*7/100000*가정!C30</f>
        <v>0</v>
      </c>
      <c r="E19" s="29"/>
    </row>
    <row r="20" customFormat="false" ht="15" hidden="false" customHeight="false" outlineLevel="0" collapsed="false">
      <c r="A20" s="10" t="s">
        <v>128</v>
      </c>
      <c r="B20" s="11" t="n">
        <f aca="false">MAX(호출량!C14-1024,0)/1024*가정!C31</f>
        <v>0</v>
      </c>
      <c r="C20" s="11" t="n">
        <f aca="false">MAX(호출량!C14-1024,0)/1024*가정!C31</f>
        <v>0</v>
      </c>
      <c r="D20" s="11" t="n">
        <f aca="false">MAX(호출량!C14-1024,0)/1024*가정!C31</f>
        <v>0</v>
      </c>
      <c r="E20" s="29"/>
    </row>
    <row r="21" customFormat="false" ht="15" hidden="false" customHeight="false" outlineLevel="0" collapsed="false">
      <c r="A21" s="33" t="s">
        <v>129</v>
      </c>
      <c r="B21" s="34" t="n">
        <f aca="false">SUM(B17:B20)</f>
        <v>0</v>
      </c>
      <c r="C21" s="34" t="n">
        <f aca="false">SUM(C17:C20)</f>
        <v>0</v>
      </c>
      <c r="D21" s="34" t="n">
        <f aca="false">SUM(D17:D20)</f>
        <v>0</v>
      </c>
      <c r="E21" s="29"/>
    </row>
    <row r="22" customFormat="false" ht="15" hidden="false" customHeight="false" outlineLevel="0" collapsed="false">
      <c r="A22" s="35" t="s">
        <v>130</v>
      </c>
      <c r="B22" s="9" t="s">
        <v>131</v>
      </c>
      <c r="C22" s="9" t="s">
        <v>132</v>
      </c>
      <c r="D22" s="9" t="s">
        <v>133</v>
      </c>
      <c r="E22" s="8" t="s">
        <v>32</v>
      </c>
    </row>
    <row r="23" customFormat="false" ht="15" hidden="false" customHeight="false" outlineLevel="0" collapsed="false">
      <c r="A23" s="19" t="s">
        <v>134</v>
      </c>
      <c r="B23" s="11" t="n">
        <f aca="false">B11</f>
        <v>87.318</v>
      </c>
      <c r="C23" s="11" t="n">
        <f aca="false">C11</f>
        <v>29.106</v>
      </c>
      <c r="D23" s="11" t="n">
        <f aca="false">D11</f>
        <v>47.166</v>
      </c>
      <c r="E23" s="29"/>
    </row>
    <row r="24" customFormat="false" ht="15" hidden="false" customHeight="false" outlineLevel="0" collapsed="false">
      <c r="A24" s="19" t="s">
        <v>135</v>
      </c>
      <c r="B24" s="11" t="n">
        <f aca="false">B14</f>
        <v>34.272</v>
      </c>
      <c r="C24" s="11" t="n">
        <f aca="false">C14</f>
        <v>34.272</v>
      </c>
      <c r="D24" s="11" t="n">
        <f aca="false">D14</f>
        <v>34.272</v>
      </c>
      <c r="E24" s="29"/>
    </row>
    <row r="25" customFormat="false" ht="15" hidden="false" customHeight="false" outlineLevel="0" collapsed="false">
      <c r="A25" s="19" t="s">
        <v>136</v>
      </c>
      <c r="B25" s="11" t="n">
        <f aca="false">B21</f>
        <v>0</v>
      </c>
      <c r="C25" s="11" t="n">
        <f aca="false">C21</f>
        <v>0</v>
      </c>
      <c r="D25" s="11" t="n">
        <f aca="false">D21</f>
        <v>0</v>
      </c>
      <c r="E25" s="29"/>
    </row>
    <row r="26" customFormat="false" ht="15" hidden="false" customHeight="false" outlineLevel="0" collapsed="false">
      <c r="A26" s="36" t="s">
        <v>137</v>
      </c>
      <c r="B26" s="15" t="n">
        <f aca="false">SUM(B23:B25)*0.1</f>
        <v>12.159</v>
      </c>
      <c r="C26" s="15" t="n">
        <f aca="false">SUM(C23:C25)*0.1</f>
        <v>6.3378</v>
      </c>
      <c r="D26" s="15" t="n">
        <f aca="false">SUM(D23:D25)*0.1</f>
        <v>8.1438</v>
      </c>
      <c r="E26" s="29"/>
    </row>
  </sheetData>
  <mergeCells count="4">
    <mergeCell ref="A1:F1"/>
    <mergeCell ref="A4:F4"/>
    <mergeCell ref="A13:F13"/>
    <mergeCell ref="A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7" min="2" style="0" width="14"/>
  </cols>
  <sheetData>
    <row r="1" customFormat="false" ht="21.75" hidden="false" customHeight="true" outlineLevel="0" collapsed="false">
      <c r="A1" s="18" t="s">
        <v>138</v>
      </c>
      <c r="B1" s="18"/>
      <c r="C1" s="18"/>
      <c r="D1" s="18"/>
      <c r="E1" s="18"/>
      <c r="F1" s="18"/>
    </row>
    <row r="3" customFormat="false" ht="15" hidden="false" customHeight="false" outlineLevel="0" collapsed="false">
      <c r="A3" s="8" t="s">
        <v>139</v>
      </c>
      <c r="B3" s="37" t="n">
        <v>0.3</v>
      </c>
      <c r="C3" s="37" t="n">
        <v>0.5</v>
      </c>
      <c r="D3" s="37" t="n">
        <v>0.7</v>
      </c>
      <c r="E3" s="37" t="n">
        <v>0.9</v>
      </c>
      <c r="F3" s="37" t="n">
        <v>1</v>
      </c>
    </row>
    <row r="4" customFormat="false" ht="15" hidden="false" customHeight="false" outlineLevel="0" collapsed="false">
      <c r="A4" s="10" t="s">
        <v>140</v>
      </c>
      <c r="B4" s="38" t="n">
        <f aca="false">SUM(시나리오!D23:D26)*(B3/대시보드!B7)</f>
        <v>38.3922</v>
      </c>
      <c r="C4" s="38" t="n">
        <f aca="false">SUM(시나리오!D23:D26)*(C3/대시보드!B7)</f>
        <v>63.987</v>
      </c>
      <c r="D4" s="38" t="n">
        <f aca="false">SUM(시나리오!D23:D26)*(D3/대시보드!B7)</f>
        <v>89.5818</v>
      </c>
      <c r="E4" s="38" t="n">
        <f aca="false">SUM(시나리오!D23:D26)*(E3/대시보드!B7)</f>
        <v>115.1766</v>
      </c>
      <c r="F4" s="38" t="n">
        <f aca="false">SUM(시나리오!D23:D26)*(F3/대시보드!B7)</f>
        <v>127.974</v>
      </c>
    </row>
    <row r="5" customFormat="false" ht="15" hidden="false" customHeight="false" outlineLevel="0" collapsed="false">
      <c r="A5" s="12" t="s">
        <v>141</v>
      </c>
      <c r="B5" s="15" t="n">
        <f aca="false">B4/3/(대시보드!B5*B3)</f>
        <v>0.42658</v>
      </c>
      <c r="C5" s="15" t="n">
        <f aca="false">C4/3/(대시보드!B5*C3)</f>
        <v>0.42658</v>
      </c>
      <c r="D5" s="15" t="n">
        <f aca="false">D4/3/(대시보드!B5*D3)</f>
        <v>0.42658</v>
      </c>
      <c r="E5" s="15" t="n">
        <f aca="false">E4/3/(대시보드!B5*E3)</f>
        <v>0.42658</v>
      </c>
      <c r="F5" s="15" t="n">
        <f aca="false">F4/3/(대시보드!B5*F3)</f>
        <v>0.42658</v>
      </c>
    </row>
    <row r="6" customFormat="false" ht="15" hidden="false" customHeight="false" outlineLevel="0" collapsed="false">
      <c r="A6" s="12" t="s">
        <v>142</v>
      </c>
      <c r="B6" s="16" t="n">
        <f aca="false">B4*1350</f>
        <v>51829.47</v>
      </c>
      <c r="C6" s="16" t="n">
        <f aca="false">C4*1350</f>
        <v>86382.45</v>
      </c>
      <c r="D6" s="16" t="n">
        <f aca="false">D4*1350</f>
        <v>120935.43</v>
      </c>
      <c r="E6" s="16" t="n">
        <f aca="false">E4*1350</f>
        <v>155488.41</v>
      </c>
      <c r="F6" s="16" t="n">
        <f aca="false">F4*1350</f>
        <v>172764.9</v>
      </c>
    </row>
    <row r="8" customFormat="false" ht="15" hidden="false" customHeight="false" outlineLevel="0" collapsed="false">
      <c r="A8" s="3" t="s">
        <v>143</v>
      </c>
      <c r="B8" s="3"/>
      <c r="C8" s="3"/>
      <c r="D8" s="3"/>
      <c r="E8" s="3"/>
      <c r="F8" s="3"/>
    </row>
    <row r="9" customFormat="false" ht="15" hidden="false" customHeight="false" outlineLevel="0" collapsed="false">
      <c r="A9" s="8" t="s">
        <v>144</v>
      </c>
      <c r="B9" s="8" t="s">
        <v>145</v>
      </c>
      <c r="C9" s="9" t="s">
        <v>146</v>
      </c>
      <c r="D9" s="9" t="s">
        <v>147</v>
      </c>
      <c r="E9" s="9" t="s">
        <v>148</v>
      </c>
    </row>
    <row r="10" customFormat="false" ht="15" hidden="false" customHeight="false" outlineLevel="0" collapsed="false">
      <c r="A10" s="12" t="s">
        <v>149</v>
      </c>
      <c r="B10" s="39" t="n">
        <v>0.5</v>
      </c>
      <c r="C10" s="38" t="n">
        <f aca="false">SUM(시나리오!B23:B26)*B10</f>
        <v>66.8745</v>
      </c>
      <c r="D10" s="38" t="n">
        <f aca="false">SUM(시나리오!C23:C26)*B10</f>
        <v>34.8579</v>
      </c>
      <c r="E10" s="38" t="n">
        <f aca="false">SUM(시나리오!D23:D26)*B10</f>
        <v>44.7909</v>
      </c>
    </row>
    <row r="11" customFormat="false" ht="15" hidden="false" customHeight="false" outlineLevel="0" collapsed="false">
      <c r="A11" s="12" t="s">
        <v>150</v>
      </c>
      <c r="B11" s="39" t="n">
        <v>1</v>
      </c>
      <c r="C11" s="38" t="n">
        <f aca="false">SUM(시나리오!B23:B26)*B11</f>
        <v>133.749</v>
      </c>
      <c r="D11" s="38" t="n">
        <f aca="false">SUM(시나리오!C23:C26)*B11</f>
        <v>69.7158</v>
      </c>
      <c r="E11" s="38" t="n">
        <f aca="false">SUM(시나리오!D23:D26)*B11</f>
        <v>89.5818</v>
      </c>
    </row>
    <row r="12" customFormat="false" ht="15" hidden="false" customHeight="false" outlineLevel="0" collapsed="false">
      <c r="A12" s="12" t="s">
        <v>151</v>
      </c>
      <c r="B12" s="39" t="n">
        <v>1.5</v>
      </c>
      <c r="C12" s="38" t="n">
        <f aca="false">SUM(시나리오!B23:B26)*B12</f>
        <v>200.6235</v>
      </c>
      <c r="D12" s="38" t="n">
        <f aca="false">SUM(시나리오!C23:C26)*B12</f>
        <v>104.5737</v>
      </c>
      <c r="E12" s="38" t="n">
        <f aca="false">SUM(시나리오!D23:D26)*B12</f>
        <v>134.3727</v>
      </c>
    </row>
    <row r="13" customFormat="false" ht="15" hidden="false" customHeight="false" outlineLevel="0" collapsed="false">
      <c r="A13" s="12" t="s">
        <v>152</v>
      </c>
      <c r="B13" s="39" t="n">
        <v>2</v>
      </c>
      <c r="C13" s="38" t="n">
        <f aca="false">SUM(시나리오!B23:B26)*B13</f>
        <v>267.498</v>
      </c>
      <c r="D13" s="38" t="n">
        <f aca="false">SUM(시나리오!C23:C26)*B13</f>
        <v>139.4316</v>
      </c>
      <c r="E13" s="38" t="n">
        <f aca="false">SUM(시나리오!D23:D26)*B13</f>
        <v>179.1636</v>
      </c>
    </row>
  </sheetData>
  <mergeCells count="2">
    <mergeCell ref="A1:F1"/>
    <mergeCell ref="A8:F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2026-04-21T16:14:39Z</dcterms:created>
  <dc:creator>openpyxl</dc:creator>
  <dc:description/>
  <dc:language>en-US</dc:language>
  <cp:lastModifiedBy/>
  <dcterms:modified xsi:type="dcterms:W3CDTF">2026-04-21T16:14:39Z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