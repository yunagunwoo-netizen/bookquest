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전제조건" sheetId="2" state="visible" r:id="rId4"/>
    <sheet name="LLM비용" sheetId="3" state="visible" r:id="rId5"/>
    <sheet name="전체비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<sst xmlns="http://schemas.openxmlformats.org/spreadsheetml/2006/main" count="157" uniqueCount="142">
  <si>
    <r>
      <rPr>
        <b val="true"/>
        <sz val="16"/>
        <color rgb="FF1F3864"/>
        <rFont val="DejaVu Sans"/>
        <family val="2"/>
      </rPr>
      <t xml:space="preserve">📊 아바타 </t>
    </r>
    <r>
      <rPr>
        <b val="true"/>
        <sz val="16"/>
        <color rgb="FF1F3864"/>
        <rFont val="DejaVu Sans"/>
        <family val="2"/>
        <charset val="1"/>
      </rPr>
      <t xml:space="preserve">Q&amp;A </t>
    </r>
    <r>
      <rPr>
        <b val="true"/>
        <sz val="16"/>
        <color rgb="FF1F3864"/>
        <rFont val="DejaVu Sans"/>
        <family val="2"/>
      </rPr>
      <t xml:space="preserve">배틀 — 운영 비용 대시보드</t>
    </r>
  </si>
  <si>
    <r>
      <rPr>
        <i val="true"/>
        <sz val="10"/>
        <color rgb="FF555555"/>
        <rFont val="DejaVu Sans"/>
        <family val="2"/>
      </rPr>
      <t xml:space="preserve">권장 시나리오</t>
    </r>
    <r>
      <rPr>
        <i val="true"/>
        <sz val="10"/>
        <color rgb="FF555555"/>
        <rFont val="DejaVu Sans"/>
        <family val="2"/>
        <charset val="1"/>
      </rPr>
      <t xml:space="preserve">: 500</t>
    </r>
    <r>
      <rPr>
        <i val="true"/>
        <sz val="10"/>
        <color rgb="FF555555"/>
        <rFont val="DejaVu Sans"/>
        <family val="2"/>
      </rPr>
      <t xml:space="preserve">명 정식 런칭 </t>
    </r>
    <r>
      <rPr>
        <i val="true"/>
        <sz val="10"/>
        <color rgb="FF555555"/>
        <rFont val="DejaVu Sans"/>
        <family val="2"/>
        <charset val="1"/>
      </rPr>
      <t xml:space="preserve">× </t>
    </r>
    <r>
      <rPr>
        <i val="true"/>
        <sz val="10"/>
        <color rgb="FF555555"/>
        <rFont val="DejaVu Sans"/>
        <family val="2"/>
      </rPr>
      <t xml:space="preserve">주</t>
    </r>
    <r>
      <rPr>
        <i val="true"/>
        <sz val="10"/>
        <color rgb="FF555555"/>
        <rFont val="DejaVu Sans"/>
        <family val="2"/>
        <charset val="1"/>
      </rPr>
      <t xml:space="preserve">1</t>
    </r>
    <r>
      <rPr>
        <i val="true"/>
        <sz val="10"/>
        <color rgb="FF555555"/>
        <rFont val="DejaVu Sans"/>
        <family val="2"/>
      </rPr>
      <t xml:space="preserve">회 배틀 </t>
    </r>
    <r>
      <rPr>
        <i val="true"/>
        <sz val="10"/>
        <color rgb="FF555555"/>
        <rFont val="DejaVu Sans"/>
        <family val="2"/>
        <charset val="1"/>
      </rPr>
      <t xml:space="preserve">+ </t>
    </r>
    <r>
      <rPr>
        <i val="true"/>
        <sz val="10"/>
        <color rgb="FF555555"/>
        <rFont val="DejaVu Sans"/>
        <family val="2"/>
      </rPr>
      <t xml:space="preserve">분기 시즌 선물 </t>
    </r>
    <r>
      <rPr>
        <i val="true"/>
        <sz val="10"/>
        <color rgb="FF555555"/>
        <rFont val="DejaVu Sans"/>
        <family val="2"/>
        <charset val="1"/>
      </rPr>
      <t xml:space="preserve">TOP10 (</t>
    </r>
    <r>
      <rPr>
        <i val="true"/>
        <sz val="10"/>
        <color rgb="FF555555"/>
        <rFont val="DejaVu Sans"/>
        <family val="2"/>
      </rPr>
      <t xml:space="preserve">알라딘 </t>
    </r>
    <r>
      <rPr>
        <i val="true"/>
        <sz val="10"/>
        <color rgb="FF555555"/>
        <rFont val="DejaVu Sans"/>
        <family val="2"/>
        <charset val="1"/>
      </rPr>
      <t xml:space="preserve">50% </t>
    </r>
    <r>
      <rPr>
        <i val="true"/>
        <sz val="10"/>
        <color rgb="FF555555"/>
        <rFont val="DejaVu Sans"/>
        <family val="2"/>
      </rPr>
      <t xml:space="preserve">협찬</t>
    </r>
    <r>
      <rPr>
        <i val="true"/>
        <sz val="10"/>
        <color rgb="FF555555"/>
        <rFont val="DejaVu Sans"/>
        <family val="2"/>
        <charset val="1"/>
      </rPr>
      <t xml:space="preserve">)</t>
    </r>
  </si>
  <si>
    <r>
      <rPr>
        <b val="true"/>
        <sz val="11"/>
        <color rgb="FF1F3864"/>
        <rFont val="DejaVu Sans"/>
        <family val="2"/>
      </rPr>
      <t xml:space="preserve">🎯 권장 시나리오 </t>
    </r>
    <r>
      <rPr>
        <b val="true"/>
        <sz val="11"/>
        <color rgb="FF1F3864"/>
        <rFont val="DejaVu Sans"/>
        <family val="2"/>
        <charset val="1"/>
      </rPr>
      <t xml:space="preserve">(500</t>
    </r>
    <r>
      <rPr>
        <b val="true"/>
        <sz val="11"/>
        <color rgb="FF1F3864"/>
        <rFont val="DejaVu Sans"/>
        <family val="2"/>
      </rPr>
      <t xml:space="preserve">명 </t>
    </r>
    <r>
      <rPr>
        <b val="true"/>
        <sz val="11"/>
        <color rgb="FF1F3864"/>
        <rFont val="DejaVu Sans"/>
        <family val="2"/>
        <charset val="1"/>
      </rPr>
      <t xml:space="preserve">· </t>
    </r>
    <r>
      <rPr>
        <b val="true"/>
        <sz val="11"/>
        <color rgb="FF1F3864"/>
        <rFont val="DejaVu Sans"/>
        <family val="2"/>
      </rPr>
      <t xml:space="preserve">주</t>
    </r>
    <r>
      <rPr>
        <b val="true"/>
        <sz val="11"/>
        <color rgb="FF1F3864"/>
        <rFont val="DejaVu Sans"/>
        <family val="2"/>
        <charset val="1"/>
      </rPr>
      <t xml:space="preserve">1</t>
    </r>
    <r>
      <rPr>
        <b val="true"/>
        <sz val="11"/>
        <color rgb="FF1F3864"/>
        <rFont val="DejaVu Sans"/>
        <family val="2"/>
      </rPr>
      <t xml:space="preserve">회</t>
    </r>
    <r>
      <rPr>
        <b val="true"/>
        <sz val="11"/>
        <color rgb="FF1F3864"/>
        <rFont val="DejaVu Sans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</si>
  <si>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월 </t>
    </r>
    <r>
      <rPr>
        <sz val="11"/>
        <color rgb="FF000000"/>
        <rFont val="DejaVu Sans"/>
        <family val="2"/>
        <charset val="1"/>
      </rPr>
      <t xml:space="preserve">LLM </t>
    </r>
    <r>
      <rPr>
        <sz val="11"/>
        <color rgb="FF000000"/>
        <rFont val="DejaVu Sans"/>
        <family val="2"/>
      </rPr>
      <t xml:space="preserve">비용</t>
    </r>
  </si>
  <si>
    <r>
      <rPr>
        <sz val="11"/>
        <color rgb="FF000000"/>
        <rFont val="DejaVu Sans"/>
        <family val="2"/>
      </rPr>
      <t xml:space="preserve">월 </t>
    </r>
    <r>
      <rPr>
        <sz val="11"/>
        <color rgb="FF000000"/>
        <rFont val="DejaVu Sans"/>
        <family val="2"/>
        <charset val="1"/>
      </rPr>
      <t xml:space="preserve">Firestore </t>
    </r>
    <r>
      <rPr>
        <sz val="11"/>
        <color rgb="FF000000"/>
        <rFont val="DejaVu Sans"/>
        <family val="2"/>
      </rPr>
      <t xml:space="preserve">비용</t>
    </r>
  </si>
  <si>
    <t xml:space="preserve">월 시즌선물 비용</t>
  </si>
  <si>
    <t xml:space="preserve">━━ 월 운영비 합계 ━━</t>
  </si>
  <si>
    <t xml:space="preserve">연 운영비</t>
  </si>
  <si>
    <t xml:space="preserve">인당 월비용</t>
  </si>
  <si>
    <t xml:space="preserve">📈 시나리오별 월 운영비</t>
  </si>
  <si>
    <r>
      <rPr>
        <sz val="11"/>
        <color rgb="FF000000"/>
        <rFont val="맑은 고딕"/>
        <family val="0"/>
        <charset val="1"/>
      </rPr>
      <t xml:space="preserve">100</t>
    </r>
    <r>
      <rPr>
        <sz val="11"/>
        <color rgb="FF000000"/>
        <rFont val="DejaVu Sans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· </t>
    </r>
    <r>
      <rPr>
        <sz val="11"/>
        <color rgb="FF000000"/>
        <rFont val="DejaVu Sans"/>
        <family val="2"/>
      </rPr>
      <t xml:space="preserve">주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회</t>
    </r>
  </si>
  <si>
    <r>
      <rPr>
        <sz val="11"/>
        <color rgb="FF000000"/>
        <rFont val="맑은 고딕"/>
        <family val="0"/>
        <charset val="1"/>
      </rPr>
      <t xml:space="preserve">500</t>
    </r>
    <r>
      <rPr>
        <sz val="11"/>
        <color rgb="FF000000"/>
        <rFont val="DejaVu Sans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· </t>
    </r>
    <r>
      <rPr>
        <sz val="11"/>
        <color rgb="FF000000"/>
        <rFont val="DejaVu Sans"/>
        <family val="2"/>
      </rPr>
      <t xml:space="preserve">주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회</t>
    </r>
  </si>
  <si>
    <r>
      <rPr>
        <sz val="11"/>
        <color rgb="FF000000"/>
        <rFont val="맑은 고딕"/>
        <family val="0"/>
        <charset val="1"/>
      </rPr>
      <t xml:space="preserve">500</t>
    </r>
    <r>
      <rPr>
        <sz val="11"/>
        <color rgb="FF000000"/>
        <rFont val="DejaVu Sans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· </t>
    </r>
    <r>
      <rPr>
        <sz val="11"/>
        <color rgb="FF000000"/>
        <rFont val="DejaVu Sans"/>
        <family val="2"/>
      </rPr>
      <t xml:space="preserve">일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회</t>
    </r>
  </si>
  <si>
    <r>
      <rPr>
        <sz val="11"/>
        <color rgb="FF000000"/>
        <rFont val="맑은 고딕"/>
        <family val="0"/>
        <charset val="1"/>
      </rPr>
      <t xml:space="preserve">5,000</t>
    </r>
    <r>
      <rPr>
        <sz val="11"/>
        <color rgb="FF000000"/>
        <rFont val="DejaVu Sans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· </t>
    </r>
    <r>
      <rPr>
        <sz val="11"/>
        <color rgb="FF000000"/>
        <rFont val="DejaVu Sans"/>
        <family val="2"/>
      </rPr>
      <t xml:space="preserve">주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회</t>
    </r>
  </si>
  <si>
    <r>
      <rPr>
        <sz val="11"/>
        <color rgb="FF000000"/>
        <rFont val="맑은 고딕"/>
        <family val="0"/>
        <charset val="1"/>
      </rPr>
      <t xml:space="preserve">5,000</t>
    </r>
    <r>
      <rPr>
        <sz val="11"/>
        <color rgb="FF000000"/>
        <rFont val="DejaVu Sans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· </t>
    </r>
    <r>
      <rPr>
        <sz val="11"/>
        <color rgb="FF000000"/>
        <rFont val="DejaVu Sans"/>
        <family val="2"/>
      </rPr>
      <t xml:space="preserve">일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DejaVu Sans"/>
        <family val="2"/>
      </rPr>
      <t xml:space="preserve">회</t>
    </r>
  </si>
  <si>
    <t xml:space="preserve">🛠 일회성 초기 비용</t>
  </si>
  <si>
    <r>
      <rPr>
        <sz val="11"/>
        <color rgb="FF000000"/>
        <rFont val="DejaVu Sans"/>
        <family val="2"/>
      </rPr>
      <t xml:space="preserve">사전 </t>
    </r>
    <r>
      <rPr>
        <sz val="11"/>
        <color rgb="FF000000"/>
        <rFont val="DejaVu Sans"/>
        <family val="2"/>
        <charset val="1"/>
      </rPr>
      <t xml:space="preserve">Q&amp;A</t>
    </r>
    <r>
      <rPr>
        <sz val="11"/>
        <color rgb="FF000000"/>
        <rFont val="DejaVu Sans"/>
        <family val="2"/>
      </rPr>
      <t xml:space="preserve">풀 생성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카탈로그 </t>
    </r>
    <r>
      <rPr>
        <sz val="11"/>
        <color rgb="FF000000"/>
        <rFont val="DejaVu Sans"/>
        <family val="2"/>
        <charset val="1"/>
      </rPr>
      <t xml:space="preserve">1,000</t>
    </r>
    <r>
      <rPr>
        <sz val="11"/>
        <color rgb="FF000000"/>
        <rFont val="DejaVu Sans"/>
        <family val="2"/>
      </rPr>
      <t xml:space="preserve">권</t>
    </r>
    <r>
      <rPr>
        <sz val="11"/>
        <color rgb="FF000000"/>
        <rFont val="DejaVu Sans"/>
        <family val="2"/>
        <charset val="1"/>
      </rPr>
      <t xml:space="preserve">)</t>
    </r>
  </si>
  <si>
    <r>
      <rPr>
        <b val="true"/>
        <sz val="11"/>
        <color rgb="FF1F3864"/>
        <rFont val="DejaVu Sans"/>
        <family val="2"/>
      </rPr>
      <t xml:space="preserve">🎁 시즌 선물 경제성 </t>
    </r>
    <r>
      <rPr>
        <b val="true"/>
        <sz val="11"/>
        <color rgb="FF1F3864"/>
        <rFont val="DejaVu Sans"/>
        <family val="2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분기당</t>
    </r>
    <r>
      <rPr>
        <b val="true"/>
        <sz val="11"/>
        <color rgb="FF1F3864"/>
        <rFont val="DejaVu Sans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</si>
  <si>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시즌당 선물 총비용 </t>
    </r>
    <r>
      <rPr>
        <sz val="11"/>
        <color rgb="FF000000"/>
        <rFont val="DejaVu Sans"/>
        <family val="2"/>
        <charset val="1"/>
      </rPr>
      <t xml:space="preserve">(100% </t>
    </r>
    <r>
      <rPr>
        <sz val="11"/>
        <color rgb="FF000000"/>
        <rFont val="DejaVu Sans"/>
        <family val="2"/>
      </rPr>
      <t xml:space="preserve">자비</t>
    </r>
    <r>
      <rPr>
        <sz val="11"/>
        <color rgb="FF000000"/>
        <rFont val="DejaVu Sans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</si>
  <si>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시즌당 선물 비용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도매</t>
    </r>
    <r>
      <rPr>
        <sz val="11"/>
        <color rgb="FF000000"/>
        <rFont val="DejaVu Sans"/>
        <family val="2"/>
        <charset val="1"/>
      </rPr>
      <t xml:space="preserve">+</t>
    </r>
    <r>
      <rPr>
        <sz val="11"/>
        <color rgb="FF000000"/>
        <rFont val="DejaVu Sans"/>
        <family val="2"/>
      </rPr>
      <t xml:space="preserve">협찬 적용</t>
    </r>
    <r>
      <rPr>
        <sz val="11"/>
        <color rgb="FF000000"/>
        <rFont val="DejaVu Sans"/>
        <family val="2"/>
        <charset val="1"/>
      </rPr>
      <t xml:space="preserve">)</t>
    </r>
  </si>
  <si>
    <r>
      <rPr>
        <i val="true"/>
        <sz val="10"/>
        <color rgb="FF555555"/>
        <rFont val="DejaVu Sans"/>
        <family val="2"/>
      </rPr>
      <t xml:space="preserve">신규 유저 </t>
    </r>
    <r>
      <rPr>
        <i val="true"/>
        <sz val="10"/>
        <color rgb="FF555555"/>
        <rFont val="DejaVu Sans"/>
        <family val="2"/>
        <charset val="1"/>
      </rPr>
      <t xml:space="preserve">1</t>
    </r>
    <r>
      <rPr>
        <i val="true"/>
        <sz val="10"/>
        <color rgb="FF555555"/>
        <rFont val="DejaVu Sans"/>
        <family val="2"/>
      </rPr>
      <t xml:space="preserve">명당 마케팅 가치 대비 </t>
    </r>
    <r>
      <rPr>
        <i val="true"/>
        <sz val="10"/>
        <color rgb="FF555555"/>
        <rFont val="DejaVu Sans"/>
        <family val="2"/>
        <charset val="1"/>
      </rPr>
      <t xml:space="preserve">(CAC </t>
    </r>
    <r>
      <rPr>
        <i val="true"/>
        <sz val="10"/>
        <color rgb="FF555555"/>
        <rFont val="DejaVu Sans"/>
        <family val="2"/>
      </rPr>
      <t xml:space="preserve">기준</t>
    </r>
    <r>
      <rPr>
        <i val="true"/>
        <sz val="10"/>
        <color rgb="FF555555"/>
        <rFont val="DejaVu Sans"/>
        <family val="2"/>
        <charset val="1"/>
      </rPr>
      <t xml:space="preserve">)</t>
    </r>
  </si>
  <si>
    <t xml:space="preserve">💡 핵심 시사점</t>
  </si>
  <si>
    <r>
      <rPr>
        <sz val="11"/>
        <color rgb="FF000000"/>
        <rFont val="DejaVu Sans"/>
        <family val="2"/>
      </rPr>
      <t xml:space="preserve">• 배틀을 주</t>
    </r>
    <r>
      <rPr>
        <sz val="11"/>
        <color rgb="FF000000"/>
        <rFont val="DejaVu Sans"/>
        <family val="2"/>
        <charset val="1"/>
      </rPr>
      <t xml:space="preserve">1</t>
    </r>
    <r>
      <rPr>
        <sz val="11"/>
        <color rgb="FF000000"/>
        <rFont val="DejaVu Sans"/>
        <family val="2"/>
      </rPr>
      <t xml:space="preserve">회로 제한하면 </t>
    </r>
    <r>
      <rPr>
        <sz val="11"/>
        <color rgb="FF000000"/>
        <rFont val="DejaVu Sans"/>
        <family val="2"/>
        <charset val="1"/>
      </rPr>
      <t xml:space="preserve">500</t>
    </r>
    <r>
      <rPr>
        <sz val="11"/>
        <color rgb="FF000000"/>
        <rFont val="DejaVu Sans"/>
        <family val="2"/>
      </rPr>
      <t xml:space="preserve">명 기준 월 수만원 수준 — 초기 단계 충분히 감당 가능</t>
    </r>
  </si>
  <si>
    <r>
      <rPr>
        <sz val="11"/>
        <color rgb="FF000000"/>
        <rFont val="DejaVu Sans"/>
        <family val="2"/>
      </rPr>
      <t xml:space="preserve">• 배틀을 일</t>
    </r>
    <r>
      <rPr>
        <sz val="11"/>
        <color rgb="FF000000"/>
        <rFont val="DejaVu Sans"/>
        <family val="2"/>
        <charset val="1"/>
      </rPr>
      <t xml:space="preserve">1</t>
    </r>
    <r>
      <rPr>
        <sz val="11"/>
        <color rgb="FF000000"/>
        <rFont val="DejaVu Sans"/>
        <family val="2"/>
      </rPr>
      <t xml:space="preserve">회로 풀면 </t>
    </r>
    <r>
      <rPr>
        <sz val="11"/>
        <color rgb="FF000000"/>
        <rFont val="DejaVu Sans"/>
        <family val="2"/>
        <charset val="1"/>
      </rPr>
      <t xml:space="preserve">LLM </t>
    </r>
    <r>
      <rPr>
        <sz val="11"/>
        <color rgb="FF000000"/>
        <rFont val="DejaVu Sans"/>
        <family val="2"/>
      </rPr>
      <t xml:space="preserve">비용만 </t>
    </r>
    <r>
      <rPr>
        <sz val="11"/>
        <color rgb="FF000000"/>
        <rFont val="DejaVu Sans"/>
        <family val="2"/>
        <charset val="1"/>
      </rPr>
      <t xml:space="preserve">7.5</t>
    </r>
    <r>
      <rPr>
        <sz val="11"/>
        <color rgb="FF000000"/>
        <rFont val="DejaVu Sans"/>
        <family val="2"/>
      </rPr>
      <t xml:space="preserve">배 증가 — 유료 구독자 전용 혜택으로 차별화 권장</t>
    </r>
  </si>
  <si>
    <r>
      <rPr>
        <sz val="11"/>
        <color rgb="FF000000"/>
        <rFont val="맑은 고딕"/>
        <family val="0"/>
        <charset val="1"/>
      </rPr>
      <t xml:space="preserve">• Gemini 2.5 Flash </t>
    </r>
    <r>
      <rPr>
        <sz val="11"/>
        <color rgb="FF000000"/>
        <rFont val="DejaVu Sans"/>
        <family val="2"/>
      </rPr>
      <t xml:space="preserve">로 모델 교체 시 </t>
    </r>
    <r>
      <rPr>
        <sz val="11"/>
        <color rgb="FF000000"/>
        <rFont val="맑은 고딕"/>
        <family val="0"/>
        <charset val="1"/>
      </rPr>
      <t xml:space="preserve">LLM </t>
    </r>
    <r>
      <rPr>
        <sz val="11"/>
        <color rgb="FF000000"/>
        <rFont val="DejaVu Sans"/>
        <family val="2"/>
      </rPr>
      <t xml:space="preserve">비용 약 </t>
    </r>
    <r>
      <rPr>
        <sz val="11"/>
        <color rgb="FF000000"/>
        <rFont val="맑은 고딕"/>
        <family val="0"/>
        <charset val="1"/>
      </rPr>
      <t xml:space="preserve">1/4 </t>
    </r>
    <r>
      <rPr>
        <sz val="11"/>
        <color rgb="FF000000"/>
        <rFont val="DejaVu Sans"/>
        <family val="2"/>
      </rPr>
      <t xml:space="preserve">로 축소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전제조건 </t>
    </r>
    <r>
      <rPr>
        <sz val="11"/>
        <color rgb="FF000000"/>
        <rFont val="맑은 고딕"/>
        <family val="0"/>
        <charset val="1"/>
      </rPr>
      <t xml:space="preserve">B11=2 </t>
    </r>
    <r>
      <rPr>
        <sz val="11"/>
        <color rgb="FF000000"/>
        <rFont val="DejaVu Sans"/>
        <family val="2"/>
      </rPr>
      <t xml:space="preserve">변경</t>
    </r>
    <r>
      <rPr>
        <sz val="11"/>
        <color rgb="FF000000"/>
        <rFont val="맑은 고딕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</si>
  <si>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• 알라딘 </t>
    </r>
    <r>
      <rPr>
        <sz val="11"/>
        <color rgb="FF000000"/>
        <rFont val="DejaVu Sans"/>
        <family val="2"/>
        <charset val="1"/>
      </rPr>
      <t xml:space="preserve">50% </t>
    </r>
    <r>
      <rPr>
        <sz val="11"/>
        <color rgb="FF000000"/>
        <rFont val="DejaVu Sans"/>
        <family val="2"/>
      </rPr>
      <t xml:space="preserve">협찬 가정 시 </t>
    </r>
    <r>
      <rPr>
        <sz val="11"/>
        <color rgb="FF000000"/>
        <rFont val="DejaVu Sans"/>
        <family val="2"/>
        <charset val="1"/>
      </rPr>
      <t xml:space="preserve">TOP10 </t>
    </r>
    <r>
      <rPr>
        <sz val="11"/>
        <color rgb="FF000000"/>
        <rFont val="DejaVu Sans"/>
        <family val="2"/>
      </rPr>
      <t xml:space="preserve">분기 선물 ≈ 월 </t>
    </r>
    <r>
      <rPr>
        <sz val="11"/>
        <color rgb="FF000000"/>
        <rFont val="DejaVu Sans"/>
        <family val="2"/>
        <charset val="1"/>
      </rPr>
      <t xml:space="preserve">16,250</t>
    </r>
    <r>
      <rPr>
        <sz val="11"/>
        <color rgb="FF000000"/>
        <rFont val="DejaVu Sans"/>
        <family val="2"/>
      </rPr>
      <t xml:space="preserve">원 — 강력한 리텐션 장치 대비 저렴</t>
    </r>
  </si>
  <si>
    <r>
      <rPr>
        <sz val="11"/>
        <color rgb="FF000000"/>
        <rFont val="DejaVu Sans"/>
        <family val="2"/>
      </rPr>
      <t xml:space="preserve">• 분기 </t>
    </r>
    <r>
      <rPr>
        <sz val="11"/>
        <color rgb="FF000000"/>
        <rFont val="DejaVu Sans"/>
        <family val="2"/>
        <charset val="1"/>
      </rPr>
      <t xml:space="preserve">TOP10 </t>
    </r>
    <r>
      <rPr>
        <sz val="11"/>
        <color rgb="FF000000"/>
        <rFont val="DejaVu Sans"/>
        <family val="2"/>
      </rPr>
      <t xml:space="preserve">리스트 공개 자체가 마케팅 자산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부모 커뮤니티</t>
    </r>
    <r>
      <rPr>
        <sz val="11"/>
        <color rgb="FF000000"/>
        <rFont val="DejaVu Sans"/>
        <family val="2"/>
        <charset val="1"/>
      </rPr>
      <t xml:space="preserve">·SNS </t>
    </r>
    <r>
      <rPr>
        <sz val="11"/>
        <color rgb="FF000000"/>
        <rFont val="DejaVu Sans"/>
        <family val="2"/>
      </rPr>
      <t xml:space="preserve">바이럴</t>
    </r>
    <r>
      <rPr>
        <sz val="11"/>
        <color rgb="FF000000"/>
        <rFont val="DejaVu Sans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</si>
  <si>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• 사전 </t>
    </r>
    <r>
      <rPr>
        <sz val="11"/>
        <color rgb="FF000000"/>
        <rFont val="DejaVu Sans"/>
        <family val="2"/>
        <charset val="1"/>
      </rPr>
      <t xml:space="preserve">Q&amp;A</t>
    </r>
    <r>
      <rPr>
        <sz val="11"/>
        <color rgb="FF000000"/>
        <rFont val="DejaVu Sans"/>
        <family val="2"/>
      </rPr>
      <t xml:space="preserve">풀 생성으로 매 배틀마다 책 전문 토큰 주입 불필요 — 비용 구조 예측 가능</t>
    </r>
  </si>
  <si>
    <r>
      <rPr>
        <sz val="11"/>
        <color rgb="FF000000"/>
        <rFont val="맑은 고딕"/>
        <family val="0"/>
        <charset val="1"/>
      </rPr>
      <t xml:space="preserve">• 500</t>
    </r>
    <r>
      <rPr>
        <sz val="11"/>
        <color rgb="FF000000"/>
        <rFont val="DejaVu Sans"/>
        <family val="2"/>
      </rPr>
      <t xml:space="preserve">명 → </t>
    </r>
    <r>
      <rPr>
        <sz val="11"/>
        <color rgb="FF000000"/>
        <rFont val="맑은 고딕"/>
        <family val="0"/>
        <charset val="1"/>
      </rPr>
      <t xml:space="preserve">5,000</t>
    </r>
    <r>
      <rPr>
        <sz val="11"/>
        <color rgb="FF000000"/>
        <rFont val="DejaVu Sans"/>
        <family val="2"/>
      </rPr>
      <t xml:space="preserve">명 확장 시 선물 수도 </t>
    </r>
    <r>
      <rPr>
        <sz val="11"/>
        <color rgb="FF000000"/>
        <rFont val="맑은 고딕"/>
        <family val="0"/>
        <charset val="1"/>
      </rPr>
      <t xml:space="preserve">TOP50 </t>
    </r>
    <r>
      <rPr>
        <sz val="11"/>
        <color rgb="FF000000"/>
        <rFont val="DejaVu Sans"/>
        <family val="2"/>
      </rPr>
      <t xml:space="preserve">수준으로 늘려야 바이럴 효과 유지</t>
    </r>
  </si>
  <si>
    <r>
      <rPr>
        <b val="true"/>
        <sz val="16"/>
        <color rgb="FF1F3864"/>
        <rFont val="맑은 고딕"/>
        <family val="0"/>
        <charset val="1"/>
      </rPr>
      <t xml:space="preserve">BookQuest </t>
    </r>
    <r>
      <rPr>
        <b val="true"/>
        <sz val="16"/>
        <color rgb="FF1F3864"/>
        <rFont val="DejaVu Sans"/>
        <family val="2"/>
      </rPr>
      <t xml:space="preserve">아바타 </t>
    </r>
    <r>
      <rPr>
        <b val="true"/>
        <sz val="16"/>
        <color rgb="FF1F3864"/>
        <rFont val="맑은 고딕"/>
        <family val="0"/>
        <charset val="1"/>
      </rPr>
      <t xml:space="preserve">Q&amp;A </t>
    </r>
    <r>
      <rPr>
        <b val="true"/>
        <sz val="16"/>
        <color rgb="FF1F3864"/>
        <rFont val="DejaVu Sans"/>
        <family val="2"/>
      </rPr>
      <t xml:space="preserve">배틀 — 운영 비용 모델 </t>
    </r>
    <r>
      <rPr>
        <b val="true"/>
        <sz val="16"/>
        <color rgb="FF1F3864"/>
        <rFont val="맑은 고딕"/>
        <family val="0"/>
        <charset val="1"/>
      </rPr>
      <t xml:space="preserve">(</t>
    </r>
    <r>
      <rPr>
        <b val="true"/>
        <sz val="16"/>
        <color rgb="FF1F3864"/>
        <rFont val="DejaVu Sans"/>
        <family val="2"/>
      </rPr>
      <t xml:space="preserve">전제조건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</si>
  <si>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r>
      <rPr>
        <i val="true"/>
        <sz val="10"/>
        <color rgb="FF555555"/>
        <rFont val="DejaVu Sans"/>
        <family val="2"/>
      </rPr>
      <t xml:space="preserve">지식 기반 </t>
    </r>
    <r>
      <rPr>
        <i val="true"/>
        <sz val="10"/>
        <color rgb="FF555555"/>
        <rFont val="DejaVu Sans"/>
        <family val="2"/>
        <charset val="1"/>
      </rPr>
      <t xml:space="preserve">Q&amp;A </t>
    </r>
    <r>
      <rPr>
        <i val="true"/>
        <sz val="10"/>
        <color rgb="FF555555"/>
        <rFont val="DejaVu Sans"/>
        <family val="2"/>
      </rPr>
      <t xml:space="preserve">배틀 </t>
    </r>
    <r>
      <rPr>
        <i val="true"/>
        <sz val="10"/>
        <color rgb="FF555555"/>
        <rFont val="DejaVu Sans"/>
        <family val="2"/>
        <charset val="1"/>
      </rPr>
      <t xml:space="preserve">+ </t>
    </r>
    <r>
      <rPr>
        <i val="true"/>
        <sz val="10"/>
        <color rgb="FF555555"/>
        <rFont val="DejaVu Sans"/>
        <family val="2"/>
      </rPr>
      <t xml:space="preserve">리플레이 </t>
    </r>
    <r>
      <rPr>
        <i val="true"/>
        <sz val="10"/>
        <color rgb="FF555555"/>
        <rFont val="DejaVu Sans"/>
        <family val="2"/>
        <charset val="1"/>
      </rPr>
      <t xml:space="preserve">+ </t>
    </r>
    <r>
      <rPr>
        <i val="true"/>
        <sz val="10"/>
        <color rgb="FF555555"/>
        <rFont val="DejaVu Sans"/>
        <family val="2"/>
      </rPr>
      <t xml:space="preserve">분기 시즌 </t>
    </r>
    <r>
      <rPr>
        <i val="true"/>
        <sz val="10"/>
        <color rgb="FF555555"/>
        <rFont val="DejaVu Sans"/>
        <family val="2"/>
        <charset val="1"/>
      </rPr>
      <t xml:space="preserve">TOP10 </t>
    </r>
    <r>
      <rPr>
        <i val="true"/>
        <sz val="10"/>
        <color rgb="FF555555"/>
        <rFont val="DejaVu Sans"/>
        <family val="2"/>
      </rPr>
      <t xml:space="preserve">도서 선물 </t>
    </r>
    <r>
      <rPr>
        <i val="true"/>
        <sz val="10"/>
        <color rgb="FF555555"/>
        <rFont val="DejaVu Sans"/>
        <family val="2"/>
        <charset val="1"/>
      </rPr>
      <t xml:space="preserve">(</t>
    </r>
    <r>
      <rPr>
        <i val="true"/>
        <sz val="10"/>
        <color rgb="FF555555"/>
        <rFont val="DejaVu Sans"/>
        <family val="2"/>
      </rPr>
      <t xml:space="preserve">알라딘 파트너십</t>
    </r>
    <r>
      <rPr>
        <i val="true"/>
        <sz val="10"/>
        <color rgb="FF555555"/>
        <rFont val="DejaVu Sans"/>
        <family val="2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</si>
  <si>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1. LLM </t>
    </r>
    <r>
      <rPr>
        <b val="true"/>
        <sz val="11"/>
        <color rgb="FF1F3864"/>
        <rFont val="DejaVu Sans"/>
        <family val="2"/>
      </rPr>
      <t xml:space="preserve">단가 </t>
    </r>
    <r>
      <rPr>
        <b val="true"/>
        <sz val="11"/>
        <color rgb="FF1F3864"/>
        <rFont val="맑은 고딕"/>
        <family val="0"/>
        <charset val="1"/>
      </rPr>
      <t xml:space="preserve">(Anthropic Claude / Google Gemini)</t>
    </r>
  </si>
  <si>
    <r>
      <rPr>
        <sz val="11"/>
        <color rgb="FF000000"/>
        <rFont val="DejaVu Sans"/>
        <family val="2"/>
      </rPr>
      <t xml:space="preserve">환율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원</t>
    </r>
    <r>
      <rPr>
        <sz val="11"/>
        <color rgb="FF000000"/>
        <rFont val="DejaVu Sans"/>
        <family val="2"/>
        <charset val="1"/>
      </rPr>
      <t xml:space="preserve">/USD)</t>
    </r>
  </si>
  <si>
    <r>
      <rPr>
        <sz val="11"/>
        <color rgb="FF000000"/>
        <rFont val="DejaVu Sans"/>
        <family val="2"/>
      </rPr>
      <t xml:space="preserve">원</t>
    </r>
    <r>
      <rPr>
        <sz val="11"/>
        <color rgb="FF000000"/>
        <rFont val="DejaVu Sans"/>
        <family val="2"/>
        <charset val="1"/>
      </rPr>
      <t xml:space="preserve">/$</t>
    </r>
  </si>
  <si>
    <r>
      <rPr>
        <i val="true"/>
        <sz val="10"/>
        <color rgb="FF555555"/>
        <rFont val="맑은 고딕"/>
        <family val="0"/>
        <charset val="1"/>
      </rPr>
      <t xml:space="preserve">2026</t>
    </r>
    <r>
      <rPr>
        <i val="true"/>
        <sz val="10"/>
        <color rgb="FF555555"/>
        <rFont val="DejaVu Sans"/>
        <family val="2"/>
      </rPr>
      <t xml:space="preserve">년 기준</t>
    </r>
  </si>
  <si>
    <r>
      <rPr>
        <sz val="11"/>
        <color rgb="FF000000"/>
        <rFont val="맑은 고딕"/>
        <family val="0"/>
        <charset val="1"/>
      </rPr>
      <t xml:space="preserve">Claude Haiku 4.5 </t>
    </r>
    <r>
      <rPr>
        <sz val="11"/>
        <color rgb="FF000000"/>
        <rFont val="DejaVu Sans"/>
        <family val="2"/>
      </rPr>
      <t xml:space="preserve">입력 단가</t>
    </r>
  </si>
  <si>
    <r>
      <rPr>
        <sz val="11"/>
        <color rgb="FF000000"/>
        <rFont val="맑은 고딕"/>
        <family val="0"/>
        <charset val="1"/>
      </rPr>
      <t xml:space="preserve">$/1M</t>
    </r>
    <r>
      <rPr>
        <sz val="11"/>
        <color rgb="FF000000"/>
        <rFont val="DejaVu Sans"/>
        <family val="2"/>
      </rPr>
      <t xml:space="preserve">토큰</t>
    </r>
  </si>
  <si>
    <r>
      <rPr>
        <i val="true"/>
        <sz val="10"/>
        <color rgb="FF555555"/>
        <rFont val="DejaVu Sans"/>
        <family val="2"/>
      </rPr>
      <t xml:space="preserve">공식 </t>
    </r>
    <r>
      <rPr>
        <i val="true"/>
        <sz val="10"/>
        <color rgb="FF555555"/>
        <rFont val="DejaVu Sans"/>
        <family val="2"/>
        <charset val="1"/>
      </rPr>
      <t xml:space="preserve">API</t>
    </r>
  </si>
  <si>
    <r>
      <rPr>
        <sz val="11"/>
        <color rgb="FF000000"/>
        <rFont val="맑은 고딕"/>
        <family val="0"/>
        <charset val="1"/>
      </rPr>
      <t xml:space="preserve">Claude Haiku 4.5 </t>
    </r>
    <r>
      <rPr>
        <sz val="11"/>
        <color rgb="FF000000"/>
        <rFont val="DejaVu Sans"/>
        <family val="2"/>
      </rPr>
      <t xml:space="preserve">출력 단가</t>
    </r>
  </si>
  <si>
    <r>
      <rPr>
        <sz val="11"/>
        <color rgb="FF000000"/>
        <rFont val="맑은 고딕"/>
        <family val="0"/>
        <charset val="1"/>
      </rPr>
      <t xml:space="preserve">Gemini 2.5 Flash </t>
    </r>
    <r>
      <rPr>
        <sz val="11"/>
        <color rgb="FF000000"/>
        <rFont val="DejaVu Sans"/>
        <family val="2"/>
      </rPr>
      <t xml:space="preserve">입력 단가</t>
    </r>
  </si>
  <si>
    <t xml:space="preserve">대안 모델</t>
  </si>
  <si>
    <r>
      <rPr>
        <sz val="11"/>
        <color rgb="FF000000"/>
        <rFont val="맑은 고딕"/>
        <family val="0"/>
        <charset val="1"/>
      </rPr>
      <t xml:space="preserve">Gemini 2.5 Flash </t>
    </r>
    <r>
      <rPr>
        <sz val="11"/>
        <color rgb="FF000000"/>
        <rFont val="DejaVu Sans"/>
        <family val="2"/>
      </rPr>
      <t xml:space="preserve">출력 단가</t>
    </r>
  </si>
  <si>
    <r>
      <rPr>
        <sz val="11"/>
        <color rgb="FF000000"/>
        <rFont val="DejaVu Sans"/>
        <family val="2"/>
      </rPr>
      <t xml:space="preserve">사용 모델 </t>
    </r>
    <r>
      <rPr>
        <sz val="11"/>
        <color rgb="FF000000"/>
        <rFont val="DejaVu Sans"/>
        <family val="2"/>
        <charset val="1"/>
      </rPr>
      <t xml:space="preserve">(1=Haiku, 2=Gemini)</t>
    </r>
  </si>
  <si>
    <r>
      <rPr>
        <i val="true"/>
        <sz val="10"/>
        <color rgb="FF555555"/>
        <rFont val="DejaVu Sans"/>
        <family val="2"/>
      </rPr>
      <t xml:space="preserve">기본 </t>
    </r>
    <r>
      <rPr>
        <i val="true"/>
        <sz val="10"/>
        <color rgb="FF555555"/>
        <rFont val="맑은 고딕"/>
        <family val="0"/>
        <charset val="1"/>
      </rPr>
      <t xml:space="preserve">Gemini 2.5 Flash (AI</t>
    </r>
    <r>
      <rPr>
        <i val="true"/>
        <sz val="10"/>
        <color rgb="FF555555"/>
        <rFont val="DejaVu Sans"/>
        <family val="2"/>
      </rPr>
      <t xml:space="preserve">코치에서 검증된 저비용 모델</t>
    </r>
    <r>
      <rPr>
        <i val="true"/>
        <sz val="10"/>
        <color rgb="FF555555"/>
        <rFont val="맑은 고딕"/>
        <family val="0"/>
        <charset val="1"/>
      </rPr>
      <t xml:space="preserve">). 1→Haiku </t>
    </r>
    <r>
      <rPr>
        <i val="true"/>
        <sz val="10"/>
        <color rgb="FF555555"/>
        <rFont val="DejaVu Sans"/>
        <family val="2"/>
      </rPr>
      <t xml:space="preserve">전환 가능</t>
    </r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</si>
  <si>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DejaVu Sans"/>
        <family val="2"/>
      </rPr>
      <t xml:space="preserve">토큰 사용량</t>
    </r>
  </si>
  <si>
    <r>
      <rPr>
        <sz val="11"/>
        <color rgb="FF000000"/>
        <rFont val="DejaVu Sans"/>
        <family val="2"/>
      </rPr>
      <t xml:space="preserve">사전 </t>
    </r>
    <r>
      <rPr>
        <sz val="11"/>
        <color rgb="FF000000"/>
        <rFont val="DejaVu Sans"/>
        <family val="2"/>
        <charset val="1"/>
      </rPr>
      <t xml:space="preserve">Q&amp;A</t>
    </r>
    <r>
      <rPr>
        <sz val="11"/>
        <color rgb="FF000000"/>
        <rFont val="DejaVu Sans"/>
        <family val="2"/>
      </rPr>
      <t xml:space="preserve">풀 생성 — 입력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책당</t>
    </r>
    <r>
      <rPr>
        <sz val="11"/>
        <color rgb="FF000000"/>
        <rFont val="DejaVu Sans"/>
        <family val="2"/>
        <charset val="1"/>
      </rPr>
      <t xml:space="preserve">)</t>
    </r>
  </si>
  <si>
    <t xml:space="preserve">토큰</t>
  </si>
  <si>
    <r>
      <rPr>
        <i val="true"/>
        <sz val="10"/>
        <color rgb="FF555555"/>
        <rFont val="DejaVu Sans"/>
        <family val="2"/>
      </rPr>
      <t xml:space="preserve">책 요약</t>
    </r>
    <r>
      <rPr>
        <i val="true"/>
        <sz val="10"/>
        <color rgb="FF555555"/>
        <rFont val="DejaVu Sans"/>
        <family val="2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메타 주입</t>
    </r>
  </si>
  <si>
    <r>
      <rPr>
        <sz val="11"/>
        <color rgb="FF000000"/>
        <rFont val="DejaVu Sans"/>
        <family val="2"/>
      </rPr>
      <t xml:space="preserve">사전 </t>
    </r>
    <r>
      <rPr>
        <sz val="11"/>
        <color rgb="FF000000"/>
        <rFont val="DejaVu Sans"/>
        <family val="2"/>
        <charset val="1"/>
      </rPr>
      <t xml:space="preserve">Q&amp;A</t>
    </r>
    <r>
      <rPr>
        <sz val="11"/>
        <color rgb="FF000000"/>
        <rFont val="DejaVu Sans"/>
        <family val="2"/>
      </rPr>
      <t xml:space="preserve">풀 생성 — 출력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책당</t>
    </r>
    <r>
      <rPr>
        <sz val="11"/>
        <color rgb="FF000000"/>
        <rFont val="DejaVu Sans"/>
        <family val="2"/>
        <charset val="1"/>
      </rPr>
      <t xml:space="preserve">)</t>
    </r>
  </si>
  <si>
    <r>
      <rPr>
        <i val="true"/>
        <sz val="10"/>
        <color rgb="FF555555"/>
        <rFont val="맑은 고딕"/>
        <family val="0"/>
        <charset val="1"/>
      </rPr>
      <t xml:space="preserve">5</t>
    </r>
    <r>
      <rPr>
        <i val="true"/>
        <sz val="10"/>
        <color rgb="FF555555"/>
        <rFont val="DejaVu Sans"/>
        <family val="2"/>
      </rPr>
      <t xml:space="preserve">개 </t>
    </r>
    <r>
      <rPr>
        <i val="true"/>
        <sz val="10"/>
        <color rgb="FF555555"/>
        <rFont val="맑은 고딕"/>
        <family val="0"/>
        <charset val="1"/>
      </rPr>
      <t xml:space="preserve">Q&amp;A × 500</t>
    </r>
    <r>
      <rPr>
        <i val="true"/>
        <sz val="10"/>
        <color rgb="FF555555"/>
        <rFont val="DejaVu Sans"/>
        <family val="2"/>
      </rPr>
      <t xml:space="preserve">토큰</t>
    </r>
  </si>
  <si>
    <t xml:space="preserve">카탈로그 책 수</t>
  </si>
  <si>
    <t xml:space="preserve">권</t>
  </si>
  <si>
    <r>
      <rPr>
        <i val="true"/>
        <sz val="10"/>
        <color rgb="FF555555"/>
        <rFont val="맑은 고딕"/>
        <family val="0"/>
        <charset val="1"/>
      </rPr>
      <t xml:space="preserve">1</t>
    </r>
    <r>
      <rPr>
        <i val="true"/>
        <sz val="10"/>
        <color rgb="FF555555"/>
        <rFont val="DejaVu Sans"/>
        <family val="2"/>
      </rPr>
      <t xml:space="preserve">년차 커버리지 예상</t>
    </r>
  </si>
  <si>
    <t xml:space="preserve">배틀당 — 상대 답변 생성 입력</t>
  </si>
  <si>
    <r>
      <rPr>
        <i val="true"/>
        <sz val="10"/>
        <color rgb="FF555555"/>
        <rFont val="DejaVu Sans"/>
        <family val="2"/>
      </rPr>
      <t xml:space="preserve">질문</t>
    </r>
    <r>
      <rPr>
        <i val="true"/>
        <sz val="10"/>
        <color rgb="FF555555"/>
        <rFont val="DejaVu Sans"/>
        <family val="2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상대 책 컨텍스트</t>
    </r>
  </si>
  <si>
    <t xml:space="preserve">배틀당 — 상대 답변 생성 출력</t>
  </si>
  <si>
    <r>
      <rPr>
        <i val="true"/>
        <sz val="10"/>
        <color rgb="FF555555"/>
        <rFont val="맑은 고딕"/>
        <family val="0"/>
        <charset val="1"/>
      </rPr>
      <t xml:space="preserve">3</t>
    </r>
    <r>
      <rPr>
        <i val="true"/>
        <sz val="10"/>
        <color rgb="FF555555"/>
        <rFont val="DejaVu Sans"/>
        <family val="2"/>
      </rPr>
      <t xml:space="preserve">라운드 답변</t>
    </r>
  </si>
  <si>
    <t xml:space="preserve">배틀당 — 답변 판정 입력</t>
  </si>
  <si>
    <r>
      <rPr>
        <i val="true"/>
        <sz val="10"/>
        <color rgb="FF555555"/>
        <rFont val="DejaVu Sans"/>
        <family val="2"/>
      </rPr>
      <t xml:space="preserve">정답</t>
    </r>
    <r>
      <rPr>
        <i val="true"/>
        <sz val="10"/>
        <color rgb="FF555555"/>
        <rFont val="DejaVu Sans"/>
        <family val="2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제출답</t>
    </r>
    <r>
      <rPr>
        <i val="true"/>
        <sz val="10"/>
        <color rgb="FF555555"/>
        <rFont val="DejaVu Sans"/>
        <family val="2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기준</t>
    </r>
  </si>
  <si>
    <t xml:space="preserve">배틀당 — 답변 판정 출력</t>
  </si>
  <si>
    <r>
      <rPr>
        <i val="true"/>
        <sz val="10"/>
        <color rgb="FF555555"/>
        <rFont val="DejaVu Sans"/>
        <family val="2"/>
      </rPr>
      <t xml:space="preserve">판정</t>
    </r>
    <r>
      <rPr>
        <i val="true"/>
        <sz val="10"/>
        <color rgb="FF555555"/>
        <rFont val="DejaVu Sans"/>
        <family val="2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코멘트</t>
    </r>
  </si>
  <si>
    <t xml:space="preserve">배틀당 — 내레이션 생성 입력</t>
  </si>
  <si>
    <t xml:space="preserve">전투 결과 요약</t>
  </si>
  <si>
    <t xml:space="preserve">배틀당 — 내레이션 생성 출력</t>
  </si>
  <si>
    <t xml:space="preserve">중계 멘트</t>
  </si>
  <si>
    <r>
      <rPr>
        <b val="true"/>
        <sz val="11"/>
        <color rgb="FF1F3864"/>
        <rFont val="맑은 고딕"/>
        <family val="0"/>
        <charset val="1"/>
      </rPr>
      <t xml:space="preserve">3. Firestore </t>
    </r>
    <r>
      <rPr>
        <b val="true"/>
        <sz val="11"/>
        <color rgb="FF1F3864"/>
        <rFont val="DejaVu Sans"/>
        <family val="2"/>
      </rPr>
      <t xml:space="preserve">스토리지</t>
    </r>
  </si>
  <si>
    <r>
      <rPr>
        <sz val="11"/>
        <color rgb="FF000000"/>
        <rFont val="DejaVu Sans"/>
        <family val="2"/>
      </rPr>
      <t xml:space="preserve">리플레이 </t>
    </r>
    <r>
      <rPr>
        <sz val="11"/>
        <color rgb="FF000000"/>
        <rFont val="DejaVu Sans"/>
        <family val="2"/>
        <charset val="1"/>
      </rPr>
      <t xml:space="preserve">JSON </t>
    </r>
    <r>
      <rPr>
        <sz val="11"/>
        <color rgb="FF000000"/>
        <rFont val="DejaVu Sans"/>
        <family val="2"/>
      </rPr>
      <t xml:space="preserve">크기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평균</t>
    </r>
    <r>
      <rPr>
        <sz val="11"/>
        <color rgb="FF000000"/>
        <rFont val="DejaVu Sans"/>
        <family val="2"/>
        <charset val="1"/>
      </rPr>
      <t xml:space="preserve">)</t>
    </r>
  </si>
  <si>
    <t xml:space="preserve">KB</t>
  </si>
  <si>
    <r>
      <rPr>
        <i val="true"/>
        <sz val="10"/>
        <color rgb="FF555555"/>
        <rFont val="맑은 고딕"/>
        <family val="0"/>
        <charset val="1"/>
      </rPr>
      <t xml:space="preserve">Q+</t>
    </r>
    <r>
      <rPr>
        <i val="true"/>
        <sz val="10"/>
        <color rgb="FF555555"/>
        <rFont val="DejaVu Sans"/>
        <family val="2"/>
      </rPr>
      <t xml:space="preserve">답</t>
    </r>
    <r>
      <rPr>
        <i val="true"/>
        <sz val="10"/>
        <color rgb="FF555555"/>
        <rFont val="맑은 고딕"/>
        <family val="0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판정</t>
    </r>
    <r>
      <rPr>
        <i val="true"/>
        <sz val="10"/>
        <color rgb="FF555555"/>
        <rFont val="맑은 고딕"/>
        <family val="0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내레이션</t>
    </r>
    <r>
      <rPr>
        <i val="true"/>
        <sz val="10"/>
        <color rgb="FF555555"/>
        <rFont val="맑은 고딕"/>
        <family val="0"/>
        <charset val="1"/>
      </rPr>
      <t xml:space="preserve">×3R</t>
    </r>
  </si>
  <si>
    <t xml:space="preserve">리플레이 보존 기간</t>
  </si>
  <si>
    <t xml:space="preserve">일</t>
  </si>
  <si>
    <t xml:space="preserve">분기제 유지</t>
  </si>
  <si>
    <r>
      <rPr>
        <sz val="11"/>
        <color rgb="FF000000"/>
        <rFont val="맑은 고딕"/>
        <family val="0"/>
        <charset val="1"/>
      </rPr>
      <t xml:space="preserve">Firestore </t>
    </r>
    <r>
      <rPr>
        <sz val="11"/>
        <color rgb="FF000000"/>
        <rFont val="DejaVu Sans"/>
        <family val="2"/>
      </rPr>
      <t xml:space="preserve">저장 단가</t>
    </r>
  </si>
  <si>
    <r>
      <rPr>
        <sz val="11"/>
        <color rgb="FF000000"/>
        <rFont val="맑은 고딕"/>
        <family val="0"/>
        <charset val="1"/>
      </rPr>
      <t xml:space="preserve">$/GB/</t>
    </r>
    <r>
      <rPr>
        <sz val="11"/>
        <color rgb="FF000000"/>
        <rFont val="DejaVu Sans"/>
        <family val="2"/>
      </rPr>
      <t xml:space="preserve">월</t>
    </r>
  </si>
  <si>
    <t xml:space="preserve">공식 가격</t>
  </si>
  <si>
    <r>
      <rPr>
        <sz val="11"/>
        <color rgb="FF000000"/>
        <rFont val="맑은 고딕"/>
        <family val="0"/>
        <charset val="1"/>
      </rPr>
      <t xml:space="preserve">Firestore </t>
    </r>
    <r>
      <rPr>
        <sz val="11"/>
        <color rgb="FF000000"/>
        <rFont val="DejaVu Sans"/>
        <family val="2"/>
      </rPr>
      <t xml:space="preserve">읽기 단가</t>
    </r>
  </si>
  <si>
    <r>
      <rPr>
        <sz val="11"/>
        <color rgb="FF000000"/>
        <rFont val="맑은 고딕"/>
        <family val="0"/>
        <charset val="1"/>
      </rPr>
      <t xml:space="preserve">$/10</t>
    </r>
    <r>
      <rPr>
        <sz val="11"/>
        <color rgb="FF000000"/>
        <rFont val="DejaVu Sans"/>
        <family val="2"/>
      </rPr>
      <t xml:space="preserve">만건</t>
    </r>
  </si>
  <si>
    <t xml:space="preserve">유저당 월평균 리플레이 조회</t>
  </si>
  <si>
    <t xml:space="preserve">건</t>
  </si>
  <si>
    <r>
      <rPr>
        <i val="true"/>
        <sz val="10"/>
        <color rgb="FF555555"/>
        <rFont val="DejaVu Sans"/>
        <family val="2"/>
      </rPr>
      <t xml:space="preserve">자기</t>
    </r>
    <r>
      <rPr>
        <i val="true"/>
        <sz val="10"/>
        <color rgb="FF555555"/>
        <rFont val="DejaVu Sans"/>
        <family val="2"/>
        <charset val="1"/>
      </rPr>
      <t xml:space="preserve">+</t>
    </r>
    <r>
      <rPr>
        <i val="true"/>
        <sz val="10"/>
        <color rgb="FF555555"/>
        <rFont val="DejaVu Sans"/>
        <family val="2"/>
      </rPr>
      <t xml:space="preserve">타인 포함</t>
    </r>
  </si>
  <si>
    <r>
      <rPr>
        <b val="true"/>
        <sz val="11"/>
        <color rgb="FF1F3864"/>
        <rFont val="맑은 고딕"/>
        <family val="0"/>
        <charset val="1"/>
      </rPr>
      <t xml:space="preserve">4. </t>
    </r>
    <r>
      <rPr>
        <b val="true"/>
        <sz val="11"/>
        <color rgb="FF1F3864"/>
        <rFont val="DejaVu Sans"/>
        <family val="2"/>
      </rPr>
      <t xml:space="preserve">시즌 선물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알라딘 도서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</si>
  <si>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시즌 길이</t>
  </si>
  <si>
    <t xml:space="preserve">개월</t>
  </si>
  <si>
    <t xml:space="preserve">분기제</t>
  </si>
  <si>
    <t xml:space="preserve">시즌당 선물 받는 랭커 수</t>
  </si>
  <si>
    <t xml:space="preserve">명</t>
  </si>
  <si>
    <t xml:space="preserve">TOP 10</t>
  </si>
  <si>
    <t xml:space="preserve">평균 도서 소매가</t>
  </si>
  <si>
    <t xml:space="preserve">원</t>
  </si>
  <si>
    <t xml:space="preserve">아동도서 평균</t>
  </si>
  <si>
    <t xml:space="preserve">알라딘 도매 할인율</t>
  </si>
  <si>
    <r>
      <rPr>
        <i val="true"/>
        <sz val="10"/>
        <color rgb="FF555555"/>
        <rFont val="DejaVu Sans"/>
        <family val="2"/>
      </rPr>
      <t xml:space="preserve">소매가의 </t>
    </r>
    <r>
      <rPr>
        <i val="true"/>
        <sz val="10"/>
        <color rgb="FF555555"/>
        <rFont val="DejaVu Sans"/>
        <family val="2"/>
        <charset val="1"/>
      </rPr>
      <t xml:space="preserve">35% </t>
    </r>
    <r>
      <rPr>
        <i val="true"/>
        <sz val="10"/>
        <color rgb="FF555555"/>
        <rFont val="DejaVu Sans"/>
        <family val="2"/>
      </rPr>
      <t xml:space="preserve">할인</t>
    </r>
  </si>
  <si>
    <t xml:space="preserve">알라딘 협찬 비율</t>
  </si>
  <si>
    <r>
      <rPr>
        <i val="true"/>
        <sz val="10"/>
        <color rgb="FF555555"/>
        <rFont val="DejaVu Sans"/>
        <family val="2"/>
      </rPr>
      <t xml:space="preserve">파트너십 </t>
    </r>
    <r>
      <rPr>
        <i val="true"/>
        <sz val="10"/>
        <color rgb="FF555555"/>
        <rFont val="DejaVu Sans"/>
        <family val="2"/>
        <charset val="1"/>
      </rPr>
      <t xml:space="preserve">50% </t>
    </r>
    <r>
      <rPr>
        <i val="true"/>
        <sz val="10"/>
        <color rgb="FF555555"/>
        <rFont val="DejaVu Sans"/>
        <family val="2"/>
      </rPr>
      <t xml:space="preserve">협찬</t>
    </r>
  </si>
  <si>
    <r>
      <rPr>
        <b val="true"/>
        <sz val="11"/>
        <color rgb="FF1F3864"/>
        <rFont val="맑은 고딕"/>
        <family val="0"/>
        <charset val="1"/>
      </rPr>
      <t xml:space="preserve">5. </t>
    </r>
    <r>
      <rPr>
        <b val="true"/>
        <sz val="11"/>
        <color rgb="FF1F3864"/>
        <rFont val="DejaVu Sans"/>
        <family val="2"/>
      </rPr>
      <t xml:space="preserve">유료화 가정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손익 참조용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</si>
  <si>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무료→유료 전환율</t>
  </si>
  <si>
    <r>
      <rPr>
        <i val="true"/>
        <sz val="10"/>
        <color rgb="FF555555"/>
        <rFont val="DejaVu Sans"/>
        <family val="2"/>
      </rPr>
      <t xml:space="preserve">업계 평균 </t>
    </r>
    <r>
      <rPr>
        <i val="true"/>
        <sz val="10"/>
        <color rgb="FF555555"/>
        <rFont val="DejaVu Sans"/>
        <family val="2"/>
        <charset val="1"/>
      </rPr>
      <t xml:space="preserve">3~7%</t>
    </r>
  </si>
  <si>
    <t xml:space="preserve">월 구독료</t>
  </si>
  <si>
    <t xml:space="preserve">아동 교육앱 표준가</t>
  </si>
  <si>
    <t xml:space="preserve">결제 수수료</t>
  </si>
  <si>
    <r>
      <rPr>
        <i val="true"/>
        <sz val="10"/>
        <color rgb="FF555555"/>
        <rFont val="DejaVu Sans"/>
        <family val="2"/>
      </rPr>
      <t xml:space="preserve">앱스토어 </t>
    </r>
    <r>
      <rPr>
        <i val="true"/>
        <sz val="10"/>
        <color rgb="FF555555"/>
        <rFont val="DejaVu Sans"/>
        <family val="2"/>
        <charset val="1"/>
      </rPr>
      <t xml:space="preserve">30%</t>
    </r>
  </si>
  <si>
    <r>
      <rPr>
        <b val="true"/>
        <sz val="16"/>
        <color rgb="FF1F3864"/>
        <rFont val="맑은 고딕"/>
        <family val="0"/>
        <charset val="1"/>
      </rPr>
      <t xml:space="preserve">LLM </t>
    </r>
    <r>
      <rPr>
        <b val="true"/>
        <sz val="16"/>
        <color rgb="FF1F3864"/>
        <rFont val="DejaVu Sans"/>
        <family val="2"/>
      </rPr>
      <t xml:space="preserve">운영 비용 — 유저 규모 </t>
    </r>
    <r>
      <rPr>
        <b val="true"/>
        <sz val="16"/>
        <color rgb="FF1F3864"/>
        <rFont val="맑은 고딕"/>
        <family val="0"/>
        <charset val="1"/>
      </rPr>
      <t xml:space="preserve">× </t>
    </r>
    <r>
      <rPr>
        <b val="true"/>
        <sz val="16"/>
        <color rgb="FF1F3864"/>
        <rFont val="DejaVu Sans"/>
        <family val="2"/>
      </rPr>
      <t xml:space="preserve">배틀 빈도</t>
    </r>
  </si>
  <si>
    <r>
      <rPr>
        <b val="true"/>
        <sz val="11"/>
        <color rgb="FF1F3864"/>
        <rFont val="맑은 고딕"/>
        <family val="0"/>
        <charset val="1"/>
      </rPr>
      <t xml:space="preserve">A. </t>
    </r>
    <r>
      <rPr>
        <b val="true"/>
        <sz val="11"/>
        <color rgb="FF1F3864"/>
        <rFont val="DejaVu Sans"/>
        <family val="2"/>
      </rPr>
      <t xml:space="preserve">선택 모델 단가 </t>
    </r>
    <r>
      <rPr>
        <b val="true"/>
        <sz val="11"/>
        <color rgb="FF1F3864"/>
        <rFont val="맑은 고딕"/>
        <family val="0"/>
        <charset val="1"/>
      </rPr>
      <t xml:space="preserve">&amp; </t>
    </r>
    <r>
      <rPr>
        <b val="true"/>
        <sz val="11"/>
        <color rgb="FF1F3864"/>
        <rFont val="DejaVu Sans"/>
        <family val="2"/>
      </rPr>
      <t xml:space="preserve">배틀당 토큰 집계</t>
    </r>
  </si>
  <si>
    <r>
      <rPr>
        <sz val="11"/>
        <color rgb="FF000000"/>
        <rFont val="DejaVu Sans"/>
        <family val="2"/>
      </rPr>
      <t xml:space="preserve">입력 단가 </t>
    </r>
    <r>
      <rPr>
        <sz val="11"/>
        <color rgb="FF000000"/>
        <rFont val="DejaVu Sans"/>
        <family val="2"/>
        <charset val="1"/>
      </rPr>
      <t xml:space="preserve">($/1M</t>
    </r>
    <r>
      <rPr>
        <sz val="11"/>
        <color rgb="FF000000"/>
        <rFont val="DejaVu Sans"/>
        <family val="2"/>
      </rPr>
      <t xml:space="preserve">토큰</t>
    </r>
    <r>
      <rPr>
        <sz val="11"/>
        <color rgb="FF000000"/>
        <rFont val="DejaVu Sans"/>
        <family val="2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</si>
  <si>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출력 단가 </t>
    </r>
    <r>
      <rPr>
        <sz val="11"/>
        <color rgb="FF000000"/>
        <rFont val="DejaVu Sans"/>
        <family val="2"/>
        <charset val="1"/>
      </rPr>
      <t xml:space="preserve">($/1M</t>
    </r>
    <r>
      <rPr>
        <sz val="11"/>
        <color rgb="FF000000"/>
        <rFont val="DejaVu Sans"/>
        <family val="2"/>
      </rPr>
      <t xml:space="preserve">토큰</t>
    </r>
    <r>
      <rPr>
        <sz val="11"/>
        <color rgb="FF000000"/>
        <rFont val="DejaVu Sans"/>
        <family val="2"/>
        <charset val="1"/>
      </rPr>
      <t xml:space="preserve">)</t>
    </r>
  </si>
  <si>
    <t xml:space="preserve">배틀당 입력 토큰 합계</t>
  </si>
  <si>
    <t xml:space="preserve">배틀당 출력 토큰 합계</t>
  </si>
  <si>
    <r>
      <rPr>
        <sz val="11"/>
        <color rgb="FF000000"/>
        <rFont val="DejaVu Sans"/>
        <family val="2"/>
      </rPr>
      <t xml:space="preserve">배틀당 </t>
    </r>
    <r>
      <rPr>
        <sz val="11"/>
        <color rgb="FF000000"/>
        <rFont val="DejaVu Sans"/>
        <family val="2"/>
        <charset val="1"/>
      </rPr>
      <t xml:space="preserve">LLM </t>
    </r>
    <r>
      <rPr>
        <sz val="11"/>
        <color rgb="FF000000"/>
        <rFont val="DejaVu Sans"/>
        <family val="2"/>
      </rPr>
      <t xml:space="preserve">비용 </t>
    </r>
    <r>
      <rPr>
        <sz val="11"/>
        <color rgb="FF000000"/>
        <rFont val="DejaVu Sans"/>
        <family val="2"/>
        <charset val="1"/>
      </rPr>
      <t xml:space="preserve">(USD)</t>
    </r>
  </si>
  <si>
    <r>
      <rPr>
        <sz val="11"/>
        <color rgb="FF000000"/>
        <rFont val="DejaVu Sans"/>
        <family val="2"/>
      </rPr>
      <t xml:space="preserve">배틀당 </t>
    </r>
    <r>
      <rPr>
        <sz val="11"/>
        <color rgb="FF000000"/>
        <rFont val="DejaVu Sans"/>
        <family val="2"/>
        <charset val="1"/>
      </rPr>
      <t xml:space="preserve">LLM </t>
    </r>
    <r>
      <rPr>
        <sz val="11"/>
        <color rgb="FF000000"/>
        <rFont val="DejaVu Sans"/>
        <family val="2"/>
      </rPr>
      <t xml:space="preserve">비용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원</t>
    </r>
    <r>
      <rPr>
        <sz val="11"/>
        <color rgb="FF000000"/>
        <rFont val="DejaVu Sans"/>
        <family val="2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</si>
  <si>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B. </t>
    </r>
    <r>
      <rPr>
        <b val="true"/>
        <sz val="11"/>
        <color rgb="FF1F3864"/>
        <rFont val="DejaVu Sans"/>
        <family val="2"/>
      </rPr>
      <t xml:space="preserve">사전 </t>
    </r>
    <r>
      <rPr>
        <b val="true"/>
        <sz val="11"/>
        <color rgb="FF1F3864"/>
        <rFont val="맑은 고딕"/>
        <family val="0"/>
        <charset val="1"/>
      </rPr>
      <t xml:space="preserve">Q&amp;A</t>
    </r>
    <r>
      <rPr>
        <b val="true"/>
        <sz val="11"/>
        <color rgb="FF1F3864"/>
        <rFont val="DejaVu Sans"/>
        <family val="2"/>
      </rPr>
      <t xml:space="preserve">풀 생성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일회성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</si>
  <si>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카탈로그 전체 사전 생성 비용 </t>
    </r>
    <r>
      <rPr>
        <sz val="11"/>
        <color rgb="FF000000"/>
        <rFont val="DejaVu Sans"/>
        <family val="2"/>
        <charset val="1"/>
      </rPr>
      <t xml:space="preserve">(USD)</t>
    </r>
  </si>
  <si>
    <r>
      <rPr>
        <sz val="11"/>
        <color rgb="FF000000"/>
        <rFont val="DejaVu Sans"/>
        <family val="2"/>
      </rPr>
      <t xml:space="preserve">카탈로그 전체 사전 생성 비용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원</t>
    </r>
    <r>
      <rPr>
        <sz val="11"/>
        <color rgb="FF000000"/>
        <rFont val="DejaVu Sans"/>
        <family val="2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</si>
  <si>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C. </t>
    </r>
    <r>
      <rPr>
        <b val="true"/>
        <sz val="11"/>
        <color rgb="FF1F3864"/>
        <rFont val="DejaVu Sans"/>
        <family val="2"/>
      </rPr>
      <t xml:space="preserve">월 </t>
    </r>
    <r>
      <rPr>
        <b val="true"/>
        <sz val="11"/>
        <color rgb="FF1F3864"/>
        <rFont val="맑은 고딕"/>
        <family val="0"/>
        <charset val="1"/>
      </rPr>
      <t xml:space="preserve">LLM </t>
    </r>
    <r>
      <rPr>
        <b val="true"/>
        <sz val="11"/>
        <color rgb="FF1F3864"/>
        <rFont val="DejaVu Sans"/>
        <family val="2"/>
      </rPr>
      <t xml:space="preserve">운영 비용 매트릭스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원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</si>
  <si>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유저 수 </t>
    </r>
    <r>
      <rPr>
        <b val="true"/>
        <sz val="12"/>
        <color rgb="FFFFFFFF"/>
        <rFont val="DejaVu Sans"/>
        <family val="2"/>
        <charset val="1"/>
      </rPr>
      <t xml:space="preserve">\ </t>
    </r>
    <r>
      <rPr>
        <b val="true"/>
        <sz val="12"/>
        <color rgb="FFFFFFFF"/>
        <rFont val="DejaVu Sans"/>
        <family val="2"/>
      </rPr>
      <t xml:space="preserve">빈도</t>
    </r>
  </si>
  <si>
    <r>
      <rPr>
        <b val="true"/>
        <sz val="12"/>
        <color rgb="FFFFFFFF"/>
        <rFont val="DejaVu Sans"/>
        <family val="2"/>
      </rPr>
      <t xml:space="preserve">일 </t>
    </r>
    <r>
      <rPr>
        <b val="true"/>
        <sz val="12"/>
        <color rgb="FFFFFFFF"/>
        <rFont val="DejaVu Sans"/>
        <family val="2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 </t>
    </r>
    <r>
      <rPr>
        <b val="true"/>
        <sz val="12"/>
        <color rgb="FFFFFFFF"/>
        <rFont val="DejaVu Sans"/>
        <family val="2"/>
        <charset val="1"/>
      </rPr>
      <t xml:space="preserve">(30/</t>
    </r>
    <r>
      <rPr>
        <b val="true"/>
        <sz val="12"/>
        <color rgb="FFFFFFFF"/>
        <rFont val="DejaVu Sans"/>
        <family val="2"/>
      </rPr>
      <t xml:space="preserve">월</t>
    </r>
    <r>
      <rPr>
        <b val="true"/>
        <sz val="12"/>
        <color rgb="FFFFFFFF"/>
        <rFont val="DejaVu Sans"/>
        <family val="2"/>
        <charset val="1"/>
      </rPr>
      <t xml:space="preserve">)</t>
    </r>
  </si>
  <si>
    <r>
      <rPr>
        <b val="true"/>
        <sz val="12"/>
        <color rgb="FFFFFFFF"/>
        <rFont val="맑은 고딕"/>
        <family val="0"/>
        <charset val="1"/>
      </rPr>
      <t xml:space="preserve">3</t>
    </r>
    <r>
      <rPr>
        <b val="true"/>
        <sz val="12"/>
        <color rgb="FFFFFFFF"/>
        <rFont val="DejaVu Sans"/>
        <family val="2"/>
      </rPr>
      <t xml:space="preserve">일 </t>
    </r>
    <r>
      <rPr>
        <b val="true"/>
        <sz val="12"/>
        <color rgb="FFFFFFFF"/>
        <rFont val="맑은 고딕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 </t>
    </r>
    <r>
      <rPr>
        <b val="true"/>
        <sz val="12"/>
        <color rgb="FFFFFFFF"/>
        <rFont val="맑은 고딕"/>
        <family val="0"/>
        <charset val="1"/>
      </rPr>
      <t xml:space="preserve">(10/</t>
    </r>
    <r>
      <rPr>
        <b val="true"/>
        <sz val="12"/>
        <color rgb="FFFFFFFF"/>
        <rFont val="DejaVu Sans"/>
        <family val="2"/>
      </rPr>
      <t xml:space="preserve">월</t>
    </r>
    <r>
      <rPr>
        <b val="true"/>
        <sz val="12"/>
        <color rgb="FFFFFFFF"/>
        <rFont val="맑은 고딕"/>
        <family val="0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</si>
  <si>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주 </t>
    </r>
    <r>
      <rPr>
        <b val="true"/>
        <sz val="12"/>
        <color rgb="FFFFFFFF"/>
        <rFont val="DejaVu Sans"/>
        <family val="2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 </t>
    </r>
    <r>
      <rPr>
        <b val="true"/>
        <sz val="12"/>
        <color rgb="FFFFFFFF"/>
        <rFont val="DejaVu Sans"/>
        <family val="2"/>
        <charset val="1"/>
      </rPr>
      <t xml:space="preserve">(4/</t>
    </r>
    <r>
      <rPr>
        <b val="true"/>
        <sz val="12"/>
        <color rgb="FFFFFFFF"/>
        <rFont val="DejaVu Sans"/>
        <family val="2"/>
      </rPr>
      <t xml:space="preserve">월</t>
    </r>
    <r>
      <rPr>
        <b val="true"/>
        <sz val="12"/>
        <color rgb="FFFFFFFF"/>
        <rFont val="DejaVu Sans"/>
        <family val="2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</si>
  <si>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격주 </t>
    </r>
    <r>
      <rPr>
        <b val="true"/>
        <sz val="12"/>
        <color rgb="FFFFFFFF"/>
        <rFont val="DejaVu Sans"/>
        <family val="2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 </t>
    </r>
    <r>
      <rPr>
        <b val="true"/>
        <sz val="12"/>
        <color rgb="FFFFFFFF"/>
        <rFont val="DejaVu Sans"/>
        <family val="2"/>
        <charset val="1"/>
      </rPr>
      <t xml:space="preserve">(2/</t>
    </r>
    <r>
      <rPr>
        <b val="true"/>
        <sz val="12"/>
        <color rgb="FFFFFFFF"/>
        <rFont val="DejaVu Sans"/>
        <family val="2"/>
      </rPr>
      <t xml:space="preserve">월</t>
    </r>
    <r>
      <rPr>
        <b val="true"/>
        <sz val="12"/>
        <color rgb="FFFFFFFF"/>
        <rFont val="DejaVu Sans"/>
        <family val="2"/>
        <charset val="1"/>
      </rPr>
      <t xml:space="preserve">)</t>
    </r>
  </si>
  <si>
    <r>
      <rPr>
        <b val="true"/>
        <sz val="12"/>
        <color rgb="FFFFFFFF"/>
        <rFont val="DejaVu Sans"/>
        <family val="2"/>
      </rPr>
      <t xml:space="preserve">월 </t>
    </r>
    <r>
      <rPr>
        <b val="true"/>
        <sz val="12"/>
        <color rgb="FFFFFFFF"/>
        <rFont val="DejaVu Sans"/>
        <family val="2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</t>
    </r>
  </si>
  <si>
    <r>
      <rPr>
        <i val="true"/>
        <sz val="10"/>
        <color rgb="FF555555"/>
        <rFont val="DejaVu Sans"/>
        <family val="2"/>
      </rPr>
      <t xml:space="preserve">※ 노란 박스</t>
    </r>
    <r>
      <rPr>
        <i val="true"/>
        <sz val="10"/>
        <color rgb="FF555555"/>
        <rFont val="DejaVu Sans"/>
        <family val="2"/>
        <charset val="1"/>
      </rPr>
      <t xml:space="preserve">(A</t>
    </r>
    <r>
      <rPr>
        <i val="true"/>
        <sz val="10"/>
        <color rgb="FF555555"/>
        <rFont val="DejaVu Sans"/>
        <family val="2"/>
      </rPr>
      <t xml:space="preserve">열</t>
    </r>
    <r>
      <rPr>
        <i val="true"/>
        <sz val="10"/>
        <color rgb="FF555555"/>
        <rFont val="DejaVu Sans"/>
        <family val="2"/>
        <charset val="1"/>
      </rPr>
      <t xml:space="preserve">) </t>
    </r>
    <r>
      <rPr>
        <i val="true"/>
        <sz val="10"/>
        <color rgb="FF555555"/>
        <rFont val="DejaVu Sans"/>
        <family val="2"/>
      </rPr>
      <t xml:space="preserve">유저 수를 바꾸면 전체 자동 재계산</t>
    </r>
  </si>
  <si>
    <r>
      <rPr>
        <i val="true"/>
        <sz val="10"/>
        <color rgb="FF555555"/>
        <rFont val="맑은 고딕"/>
        <family val="0"/>
        <charset val="1"/>
      </rPr>
      <t xml:space="preserve">※ '</t>
    </r>
    <r>
      <rPr>
        <i val="true"/>
        <sz val="10"/>
        <color rgb="FF555555"/>
        <rFont val="DejaVu Sans"/>
        <family val="2"/>
      </rPr>
      <t xml:space="preserve">전제조건</t>
    </r>
    <r>
      <rPr>
        <i val="true"/>
        <sz val="10"/>
        <color rgb="FF555555"/>
        <rFont val="맑은 고딕"/>
        <family val="0"/>
        <charset val="1"/>
      </rPr>
      <t xml:space="preserve">' </t>
    </r>
    <r>
      <rPr>
        <i val="true"/>
        <sz val="10"/>
        <color rgb="FF555555"/>
        <rFont val="DejaVu Sans"/>
        <family val="2"/>
      </rPr>
      <t xml:space="preserve">시트 사용 모델</t>
    </r>
    <r>
      <rPr>
        <i val="true"/>
        <sz val="10"/>
        <color rgb="FF555555"/>
        <rFont val="맑은 고딕"/>
        <family val="0"/>
        <charset val="1"/>
      </rPr>
      <t xml:space="preserve">(1=Haiku, 2=Gemini)</t>
    </r>
    <r>
      <rPr>
        <i val="true"/>
        <sz val="10"/>
        <color rgb="FF555555"/>
        <rFont val="DejaVu Sans"/>
        <family val="2"/>
      </rPr>
      <t xml:space="preserve">을 바꾸면 전체 </t>
    </r>
    <r>
      <rPr>
        <i val="true"/>
        <sz val="10"/>
        <color rgb="FF555555"/>
        <rFont val="맑은 고딕"/>
        <family val="0"/>
        <charset val="1"/>
      </rPr>
      <t xml:space="preserve">LLM </t>
    </r>
    <r>
      <rPr>
        <i val="true"/>
        <sz val="10"/>
        <color rgb="FF555555"/>
        <rFont val="DejaVu Sans"/>
        <family val="2"/>
      </rPr>
      <t xml:space="preserve">비용이 즉시 전환</t>
    </r>
  </si>
  <si>
    <r>
      <rPr>
        <i val="true"/>
        <sz val="10"/>
        <color rgb="FF555555"/>
        <rFont val="DejaVu Sans"/>
        <family val="2"/>
      </rPr>
      <t xml:space="preserve">※ 배틀 </t>
    </r>
    <r>
      <rPr>
        <i val="true"/>
        <sz val="10"/>
        <color rgb="FF555555"/>
        <rFont val="DejaVu Sans"/>
        <family val="2"/>
        <charset val="1"/>
      </rPr>
      <t xml:space="preserve">1</t>
    </r>
    <r>
      <rPr>
        <i val="true"/>
        <sz val="10"/>
        <color rgb="FF555555"/>
        <rFont val="DejaVu Sans"/>
        <family val="2"/>
      </rPr>
      <t xml:space="preserve">회당 토큰 </t>
    </r>
    <r>
      <rPr>
        <i val="true"/>
        <sz val="10"/>
        <color rgb="FF555555"/>
        <rFont val="DejaVu Sans"/>
        <family val="2"/>
        <charset val="1"/>
      </rPr>
      <t xml:space="preserve">= </t>
    </r>
    <r>
      <rPr>
        <i val="true"/>
        <sz val="10"/>
        <color rgb="FF555555"/>
        <rFont val="DejaVu Sans"/>
        <family val="2"/>
      </rPr>
      <t xml:space="preserve">입력 </t>
    </r>
    <r>
      <rPr>
        <i val="true"/>
        <sz val="10"/>
        <color rgb="FF555555"/>
        <rFont val="DejaVu Sans"/>
        <family val="2"/>
        <charset val="1"/>
      </rPr>
      <t xml:space="preserve">1,900 + </t>
    </r>
    <r>
      <rPr>
        <i val="true"/>
        <sz val="10"/>
        <color rgb="FF555555"/>
        <rFont val="DejaVu Sans"/>
        <family val="2"/>
      </rPr>
      <t xml:space="preserve">출력 </t>
    </r>
    <r>
      <rPr>
        <i val="true"/>
        <sz val="10"/>
        <color rgb="FF555555"/>
        <rFont val="DejaVu Sans"/>
        <family val="2"/>
        <charset val="1"/>
      </rPr>
      <t xml:space="preserve">1,000 (</t>
    </r>
    <r>
      <rPr>
        <i val="true"/>
        <sz val="10"/>
        <color rgb="FF555555"/>
        <rFont val="DejaVu Sans"/>
        <family val="2"/>
      </rPr>
      <t xml:space="preserve">상대 답변 </t>
    </r>
    <r>
      <rPr>
        <i val="true"/>
        <sz val="10"/>
        <color rgb="FF555555"/>
        <rFont val="DejaVu Sans"/>
        <family val="2"/>
        <charset val="1"/>
      </rPr>
      <t xml:space="preserve">+ </t>
    </r>
    <r>
      <rPr>
        <i val="true"/>
        <sz val="10"/>
        <color rgb="FF555555"/>
        <rFont val="DejaVu Sans"/>
        <family val="2"/>
      </rPr>
      <t xml:space="preserve">판정 </t>
    </r>
    <r>
      <rPr>
        <i val="true"/>
        <sz val="10"/>
        <color rgb="FF555555"/>
        <rFont val="DejaVu Sans"/>
        <family val="2"/>
        <charset val="1"/>
      </rPr>
      <t xml:space="preserve">+ </t>
    </r>
    <r>
      <rPr>
        <i val="true"/>
        <sz val="10"/>
        <color rgb="FF555555"/>
        <rFont val="DejaVu Sans"/>
        <family val="2"/>
      </rPr>
      <t xml:space="preserve">내레이션</t>
    </r>
    <r>
      <rPr>
        <i val="true"/>
        <sz val="10"/>
        <color rgb="FF555555"/>
        <rFont val="DejaVu Sans"/>
        <family val="2"/>
        <charset val="1"/>
      </rPr>
      <t xml:space="preserve">)</t>
    </r>
  </si>
  <si>
    <t xml:space="preserve">전체 월 운영 비용 — 주요 시나리오 비교</t>
  </si>
  <si>
    <t xml:space="preserve">항목</t>
  </si>
  <si>
    <r>
      <rPr>
        <b val="true"/>
        <sz val="12"/>
        <color rgb="FFFFFFFF"/>
        <rFont val="맑은 고딕"/>
        <family val="0"/>
        <charset val="1"/>
      </rPr>
      <t xml:space="preserve">100</t>
    </r>
    <r>
      <rPr>
        <b val="true"/>
        <sz val="12"/>
        <color rgb="FFFFFFFF"/>
        <rFont val="DejaVu Sans"/>
        <family val="2"/>
      </rPr>
      <t xml:space="preserve">명 </t>
    </r>
    <r>
      <rPr>
        <b val="true"/>
        <sz val="12"/>
        <color rgb="FFFFFFFF"/>
        <rFont val="맑은 고딕"/>
        <family val="0"/>
        <charset val="1"/>
      </rPr>
      <t xml:space="preserve">· </t>
    </r>
    <r>
      <rPr>
        <b val="true"/>
        <sz val="12"/>
        <color rgb="FFFFFFFF"/>
        <rFont val="DejaVu Sans"/>
        <family val="2"/>
      </rPr>
      <t xml:space="preserve">주</t>
    </r>
    <r>
      <rPr>
        <b val="true"/>
        <sz val="12"/>
        <color rgb="FFFFFFFF"/>
        <rFont val="맑은 고딕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</t>
    </r>
  </si>
  <si>
    <r>
      <rPr>
        <b val="true"/>
        <sz val="12"/>
        <color rgb="FFFFFFFF"/>
        <rFont val="맑은 고딕"/>
        <family val="0"/>
        <charset val="1"/>
      </rPr>
      <t xml:space="preserve">500</t>
    </r>
    <r>
      <rPr>
        <b val="true"/>
        <sz val="12"/>
        <color rgb="FFFFFFFF"/>
        <rFont val="DejaVu Sans"/>
        <family val="2"/>
      </rPr>
      <t xml:space="preserve">명 </t>
    </r>
    <r>
      <rPr>
        <b val="true"/>
        <sz val="12"/>
        <color rgb="FFFFFFFF"/>
        <rFont val="맑은 고딕"/>
        <family val="0"/>
        <charset val="1"/>
      </rPr>
      <t xml:space="preserve">· </t>
    </r>
    <r>
      <rPr>
        <b val="true"/>
        <sz val="12"/>
        <color rgb="FFFFFFFF"/>
        <rFont val="DejaVu Sans"/>
        <family val="2"/>
      </rPr>
      <t xml:space="preserve">주</t>
    </r>
    <r>
      <rPr>
        <b val="true"/>
        <sz val="12"/>
        <color rgb="FFFFFFFF"/>
        <rFont val="맑은 고딕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</t>
    </r>
  </si>
  <si>
    <r>
      <rPr>
        <b val="true"/>
        <sz val="12"/>
        <color rgb="FFFFFFFF"/>
        <rFont val="맑은 고딕"/>
        <family val="0"/>
        <charset val="1"/>
      </rPr>
      <t xml:space="preserve">500</t>
    </r>
    <r>
      <rPr>
        <b val="true"/>
        <sz val="12"/>
        <color rgb="FFFFFFFF"/>
        <rFont val="DejaVu Sans"/>
        <family val="2"/>
      </rPr>
      <t xml:space="preserve">명 </t>
    </r>
    <r>
      <rPr>
        <b val="true"/>
        <sz val="12"/>
        <color rgb="FFFFFFFF"/>
        <rFont val="맑은 고딕"/>
        <family val="0"/>
        <charset val="1"/>
      </rPr>
      <t xml:space="preserve">· </t>
    </r>
    <r>
      <rPr>
        <b val="true"/>
        <sz val="12"/>
        <color rgb="FFFFFFFF"/>
        <rFont val="DejaVu Sans"/>
        <family val="2"/>
      </rPr>
      <t xml:space="preserve">일</t>
    </r>
    <r>
      <rPr>
        <b val="true"/>
        <sz val="12"/>
        <color rgb="FFFFFFFF"/>
        <rFont val="맑은 고딕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</t>
    </r>
  </si>
  <si>
    <r>
      <rPr>
        <b val="true"/>
        <sz val="12"/>
        <color rgb="FFFFFFFF"/>
        <rFont val="맑은 고딕"/>
        <family val="0"/>
        <charset val="1"/>
      </rPr>
      <t xml:space="preserve">5,000</t>
    </r>
    <r>
      <rPr>
        <b val="true"/>
        <sz val="12"/>
        <color rgb="FFFFFFFF"/>
        <rFont val="DejaVu Sans"/>
        <family val="2"/>
      </rPr>
      <t xml:space="preserve">명 </t>
    </r>
    <r>
      <rPr>
        <b val="true"/>
        <sz val="12"/>
        <color rgb="FFFFFFFF"/>
        <rFont val="맑은 고딕"/>
        <family val="0"/>
        <charset val="1"/>
      </rPr>
      <t xml:space="preserve">· </t>
    </r>
    <r>
      <rPr>
        <b val="true"/>
        <sz val="12"/>
        <color rgb="FFFFFFFF"/>
        <rFont val="DejaVu Sans"/>
        <family val="2"/>
      </rPr>
      <t xml:space="preserve">주</t>
    </r>
    <r>
      <rPr>
        <b val="true"/>
        <sz val="12"/>
        <color rgb="FFFFFFFF"/>
        <rFont val="맑은 고딕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</t>
    </r>
  </si>
  <si>
    <r>
      <rPr>
        <b val="true"/>
        <sz val="12"/>
        <color rgb="FFFFFFFF"/>
        <rFont val="맑은 고딕"/>
        <family val="0"/>
        <charset val="1"/>
      </rPr>
      <t xml:space="preserve">5,000</t>
    </r>
    <r>
      <rPr>
        <b val="true"/>
        <sz val="12"/>
        <color rgb="FFFFFFFF"/>
        <rFont val="DejaVu Sans"/>
        <family val="2"/>
      </rPr>
      <t xml:space="preserve">명 </t>
    </r>
    <r>
      <rPr>
        <b val="true"/>
        <sz val="12"/>
        <color rgb="FFFFFFFF"/>
        <rFont val="맑은 고딕"/>
        <family val="0"/>
        <charset val="1"/>
      </rPr>
      <t xml:space="preserve">· </t>
    </r>
    <r>
      <rPr>
        <b val="true"/>
        <sz val="12"/>
        <color rgb="FFFFFFFF"/>
        <rFont val="DejaVu Sans"/>
        <family val="2"/>
      </rPr>
      <t xml:space="preserve">일</t>
    </r>
    <r>
      <rPr>
        <b val="true"/>
        <sz val="12"/>
        <color rgb="FFFFFFFF"/>
        <rFont val="맑은 고딕"/>
        <family val="0"/>
        <charset val="1"/>
      </rPr>
      <t xml:space="preserve">1</t>
    </r>
    <r>
      <rPr>
        <b val="true"/>
        <sz val="12"/>
        <color rgb="FFFFFFFF"/>
        <rFont val="DejaVu Sans"/>
        <family val="2"/>
      </rPr>
      <t xml:space="preserve">회</t>
    </r>
  </si>
  <si>
    <r>
      <rPr>
        <sz val="11"/>
        <color rgb="FF000000"/>
        <rFont val="맑은 고딕"/>
        <family val="0"/>
        <charset val="1"/>
      </rPr>
      <t xml:space="preserve">LLM </t>
    </r>
    <r>
      <rPr>
        <sz val="11"/>
        <color rgb="FF000000"/>
        <rFont val="DejaVu Sans"/>
        <family val="2"/>
      </rPr>
      <t xml:space="preserve">비용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월</t>
    </r>
    <r>
      <rPr>
        <sz val="11"/>
        <color rgb="FF000000"/>
        <rFont val="맑은 고딕"/>
        <family val="0"/>
        <charset val="1"/>
      </rPr>
      <t xml:space="preserve">)</t>
    </r>
  </si>
  <si>
    <r>
      <rPr>
        <sz val="11"/>
        <color rgb="FF000000"/>
        <rFont val="맑은 고딕"/>
        <family val="0"/>
        <charset val="1"/>
      </rPr>
      <t xml:space="preserve">Firestore </t>
    </r>
    <r>
      <rPr>
        <sz val="11"/>
        <color rgb="FF000000"/>
        <rFont val="DejaVu Sans"/>
        <family val="2"/>
      </rPr>
      <t xml:space="preserve">저장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월</t>
    </r>
    <r>
      <rPr>
        <sz val="11"/>
        <color rgb="FF000000"/>
        <rFont val="맑은 고딕"/>
        <family val="0"/>
        <charset val="1"/>
      </rPr>
      <t xml:space="preserve">)</t>
    </r>
  </si>
  <si>
    <r>
      <rPr>
        <sz val="11"/>
        <color rgb="FF000000"/>
        <rFont val="맑은 고딕"/>
        <family val="0"/>
        <charset val="1"/>
      </rPr>
      <t xml:space="preserve">Firestore </t>
    </r>
    <r>
      <rPr>
        <sz val="11"/>
        <color rgb="FF000000"/>
        <rFont val="DejaVu Sans"/>
        <family val="2"/>
      </rPr>
      <t xml:space="preserve">읽기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월</t>
    </r>
    <r>
      <rPr>
        <sz val="11"/>
        <color rgb="FF000000"/>
        <rFont val="맑은 고딕"/>
        <family val="0"/>
        <charset val="1"/>
      </rPr>
      <t xml:space="preserve">)</t>
    </r>
  </si>
  <si>
    <r>
      <rPr>
        <sz val="11"/>
        <color rgb="FF000000"/>
        <rFont val="DejaVu Sans"/>
        <family val="2"/>
      </rPr>
      <t xml:space="preserve">시즌 선물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월 분할</t>
    </r>
    <r>
      <rPr>
        <sz val="11"/>
        <color rgb="FF000000"/>
        <rFont val="DejaVu Sans"/>
        <family val="2"/>
        <charset val="1"/>
      </rPr>
      <t xml:space="preserve">)</t>
    </r>
  </si>
  <si>
    <t xml:space="preserve">월 운영비용 합계</t>
  </si>
  <si>
    <t xml:space="preserve">연간 운영비용</t>
  </si>
  <si>
    <t xml:space="preserve">— 유료화 참고 —</t>
  </si>
  <si>
    <t xml:space="preserve">유료 유저 수</t>
  </si>
  <si>
    <r>
      <rPr>
        <sz val="11"/>
        <color rgb="FF000000"/>
        <rFont val="DejaVu Sans"/>
        <family val="2"/>
      </rPr>
      <t xml:space="preserve">월 매출 </t>
    </r>
    <r>
      <rPr>
        <sz val="11"/>
        <color rgb="FF000000"/>
        <rFont val="DejaVu Sans"/>
        <family val="2"/>
        <charset val="1"/>
      </rPr>
      <t xml:space="preserve">(</t>
    </r>
    <r>
      <rPr>
        <sz val="11"/>
        <color rgb="FF000000"/>
        <rFont val="DejaVu Sans"/>
        <family val="2"/>
      </rPr>
      <t xml:space="preserve">유료 </t>
    </r>
    <r>
      <rPr>
        <sz val="11"/>
        <color rgb="FF000000"/>
        <rFont val="DejaVu Sans"/>
        <family val="2"/>
        <charset val="1"/>
      </rPr>
      <t xml:space="preserve">× </t>
    </r>
    <r>
      <rPr>
        <sz val="11"/>
        <color rgb="FF000000"/>
        <rFont val="DejaVu Sans"/>
        <family val="2"/>
      </rPr>
      <t xml:space="preserve">구독료 </t>
    </r>
    <r>
      <rPr>
        <sz val="11"/>
        <color rgb="FF000000"/>
        <rFont val="DejaVu Sans"/>
        <family val="2"/>
        <charset val="1"/>
      </rPr>
      <t xml:space="preserve">× (1-</t>
    </r>
    <r>
      <rPr>
        <sz val="11"/>
        <color rgb="FF000000"/>
        <rFont val="DejaVu Sans"/>
        <family val="2"/>
      </rPr>
      <t xml:space="preserve">수수료</t>
    </r>
    <r>
      <rPr>
        <sz val="11"/>
        <color rgb="FF000000"/>
        <rFont val="DejaVu Sans"/>
        <family val="2"/>
        <charset val="1"/>
      </rPr>
      <t xml:space="preserve">))</t>
    </r>
  </si>
  <si>
    <r>
      <rPr>
        <b val="true"/>
        <sz val="12"/>
        <color rgb="FF1F3864"/>
        <rFont val="DejaVu Sans"/>
        <family val="2"/>
      </rPr>
      <t xml:space="preserve">월 순손익 </t>
    </r>
    <r>
      <rPr>
        <b val="true"/>
        <sz val="12"/>
        <color rgb="FF1F3864"/>
        <rFont val="DejaVu Sans"/>
        <family val="2"/>
        <charset val="1"/>
      </rPr>
      <t xml:space="preserve">(</t>
    </r>
    <r>
      <rPr>
        <b val="true"/>
        <sz val="12"/>
        <color rgb="FF1F3864"/>
        <rFont val="DejaVu Sans"/>
        <family val="2"/>
      </rPr>
      <t xml:space="preserve">배틀 운영비만 반영</t>
    </r>
    <r>
      <rPr>
        <b val="true"/>
        <sz val="12"/>
        <color rgb="FF1F3864"/>
        <rFont val="DejaVu Sans"/>
        <family val="2"/>
        <charset val="1"/>
      </rPr>
      <t xml:space="preserve">)</t>
    </r>
  </si>
  <si>
    <r>
      <rPr>
        <i val="true"/>
        <sz val="10"/>
        <color rgb="FF555555"/>
        <rFont val="DejaVu Sans"/>
        <family val="2"/>
      </rPr>
      <t xml:space="preserve">※ 손익은 배틀 관련 비용만 반영 — 서버</t>
    </r>
    <r>
      <rPr>
        <i val="true"/>
        <sz val="10"/>
        <color rgb="FF555555"/>
        <rFont val="DejaVu Sans"/>
        <family val="2"/>
        <charset val="1"/>
      </rPr>
      <t xml:space="preserve">/</t>
    </r>
    <r>
      <rPr>
        <i val="true"/>
        <sz val="10"/>
        <color rgb="FF555555"/>
        <rFont val="DejaVu Sans"/>
        <family val="2"/>
      </rPr>
      <t xml:space="preserve">인프라</t>
    </r>
    <r>
      <rPr>
        <i val="true"/>
        <sz val="10"/>
        <color rgb="FF555555"/>
        <rFont val="DejaVu Sans"/>
        <family val="2"/>
        <charset val="1"/>
      </rPr>
      <t xml:space="preserve">/</t>
    </r>
    <r>
      <rPr>
        <i val="true"/>
        <sz val="10"/>
        <color rgb="FF555555"/>
        <rFont val="DejaVu Sans"/>
        <family val="2"/>
      </rPr>
      <t xml:space="preserve">인건비</t>
    </r>
    <r>
      <rPr>
        <i val="true"/>
        <sz val="10"/>
        <color rgb="FF555555"/>
        <rFont val="DejaVu Sans"/>
        <family val="2"/>
        <charset val="1"/>
      </rPr>
      <t xml:space="preserve">/</t>
    </r>
    <r>
      <rPr>
        <i val="true"/>
        <sz val="10"/>
        <color rgb="FF555555"/>
        <rFont val="DejaVu Sans"/>
        <family val="2"/>
      </rPr>
      <t xml:space="preserve">마케팅 별도</t>
    </r>
  </si>
  <si>
    <r>
      <rPr>
        <i val="true"/>
        <sz val="10"/>
        <color rgb="FF555555"/>
        <rFont val="DejaVu Sans"/>
        <family val="2"/>
      </rPr>
      <t xml:space="preserve">※ 알라딘 협찬 비율</t>
    </r>
    <r>
      <rPr>
        <i val="true"/>
        <sz val="10"/>
        <color rgb="FF555555"/>
        <rFont val="DejaVu Sans"/>
        <family val="2"/>
        <charset val="1"/>
      </rPr>
      <t xml:space="preserve">(</t>
    </r>
    <r>
      <rPr>
        <i val="true"/>
        <sz val="10"/>
        <color rgb="FF555555"/>
        <rFont val="DejaVu Sans"/>
        <family val="2"/>
      </rPr>
      <t xml:space="preserve">전제조건</t>
    </r>
    <r>
      <rPr>
        <i val="true"/>
        <sz val="10"/>
        <color rgb="FF555555"/>
        <rFont val="DejaVu Sans"/>
        <family val="2"/>
        <charset val="1"/>
      </rPr>
      <t xml:space="preserve">!B) </t>
    </r>
    <r>
      <rPr>
        <i val="true"/>
        <sz val="10"/>
        <color rgb="FF555555"/>
        <rFont val="DejaVu Sans"/>
        <family val="2"/>
      </rPr>
      <t xml:space="preserve">을 </t>
    </r>
    <r>
      <rPr>
        <i val="true"/>
        <sz val="10"/>
        <color rgb="FF555555"/>
        <rFont val="DejaVu Sans"/>
        <family val="2"/>
        <charset val="1"/>
      </rPr>
      <t xml:space="preserve">100%</t>
    </r>
    <r>
      <rPr>
        <i val="true"/>
        <sz val="10"/>
        <color rgb="FF555555"/>
        <rFont val="DejaVu Sans"/>
        <family val="2"/>
      </rPr>
      <t xml:space="preserve">로 바꾸면 시즌 선물 비용 </t>
    </r>
    <r>
      <rPr>
        <i val="true"/>
        <sz val="10"/>
        <color rgb="FF555555"/>
        <rFont val="DejaVu Sans"/>
        <family val="2"/>
        <charset val="1"/>
      </rPr>
      <t xml:space="preserve">= 0</t>
    </r>
  </si>
  <si>
    <r>
      <rPr>
        <i val="true"/>
        <sz val="10"/>
        <color rgb="FF555555"/>
        <rFont val="DejaVu Sans"/>
        <family val="2"/>
      </rPr>
      <t xml:space="preserve">※ 유저수 늘어도 배틀 빈도를 주</t>
    </r>
    <r>
      <rPr>
        <i val="true"/>
        <sz val="10"/>
        <color rgb="FF555555"/>
        <rFont val="DejaVu Sans"/>
        <family val="2"/>
        <charset val="1"/>
      </rPr>
      <t xml:space="preserve">1</t>
    </r>
    <r>
      <rPr>
        <i val="true"/>
        <sz val="10"/>
        <color rgb="FF555555"/>
        <rFont val="DejaVu Sans"/>
        <family val="2"/>
      </rPr>
      <t xml:space="preserve">회로 제한하면 인당 월비용은 일정하게 유지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</si>
</sst>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₩#,##0;&quot;(₩&quot;#,##0\);\-"/>
    <numFmt numFmtId="166" formatCode="\₩#,##0.0;&quot;(₩&quot;#,##0.0\);\-"/>
    <numFmt numFmtId="167" formatCode="#,##0"/>
    <numFmt numFmtId="168" formatCode="\$#,##0.0000;&quot;($&quot;#,##0.0000\);\-"/>
    <numFmt numFmtId="169" formatCode="0.0%;\(0.0%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DejaVu Sans"/>
      <family val="2"/>
    </font>
    <font>
      <b val="true"/>
      <sz val="16"/>
      <color rgb="FF1F3864"/>
      <name val="DejaVu Sans"/>
      <family val="2"/>
      <charset val="1"/>
    </font>
    <font>
      <i val="true"/>
      <sz val="10"/>
      <color rgb="FF555555"/>
      <name val="DejaVu Sans"/>
      <family val="2"/>
    </font>
    <font>
      <i val="true"/>
      <sz val="10"/>
      <color rgb="FF555555"/>
      <name val="DejaVu Sans"/>
      <family val="2"/>
      <charset val="1"/>
    </font>
    <font>
      <b val="true"/>
      <sz val="11"/>
      <color rgb="FF1F3864"/>
      <name val="DejaVu Sans"/>
      <family val="2"/>
    </font>
    <font>
      <b val="true"/>
      <sz val="11"/>
      <color rgb="FF1F3864"/>
      <name val="DejaVu Sans"/>
      <family val="2"/>
      <charset val="1"/>
    </font>
    <font>
      <sz val="11"/>
      <color rgb="FF000000"/>
      <name val="DejaVu Sans"/>
      <family val="2"/>
    </font>
    <font>
      <sz val="11"/>
      <color rgb="FF000000"/>
      <name val="DejaVu Sans"/>
      <family val="2"/>
      <charset val="1"/>
    </font>
    <font>
      <sz val="11"/>
      <color rgb="FF008000"/>
      <name val="맑은 고딕"/>
      <family val="0"/>
      <charset val="1"/>
    </font>
    <font>
      <b val="true"/>
      <sz val="12"/>
      <color rgb="FF1F3864"/>
      <name val="DejaVu Sans"/>
      <family val="2"/>
    </font>
    <font>
      <b val="true"/>
      <sz val="12"/>
      <color rgb="FF1F3864"/>
      <name val="맑은 고딕"/>
      <family val="0"/>
      <charset val="1"/>
    </font>
    <font>
      <sz val="11"/>
      <color rgb="FF000000"/>
      <name val="맑은 고딕"/>
      <family val="0"/>
      <charset val="1"/>
    </font>
    <font>
      <b val="true"/>
      <sz val="16"/>
      <color rgb="FF1F3864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sz val="11"/>
      <color rgb="FF0000FF"/>
      <name val="맑은 고딕"/>
      <family val="0"/>
      <charset val="1"/>
    </font>
    <font>
      <i val="true"/>
      <sz val="10"/>
      <color rgb="FF555555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b val="true"/>
      <sz val="12"/>
      <color rgb="FFFFFFFF"/>
      <name val="DejaVu Sans"/>
      <family val="2"/>
    </font>
    <font>
      <b val="true"/>
      <sz val="12"/>
      <color rgb="FFFFFFFF"/>
      <name val="DejaVu Sans"/>
      <family val="2"/>
      <charset val="1"/>
    </font>
    <font>
      <b val="true"/>
      <sz val="12"/>
      <color rgb="FFFFFFFF"/>
      <name val="맑은 고딕"/>
      <family val="0"/>
      <charset val="1"/>
    </font>
    <font>
      <b val="true"/>
      <sz val="12"/>
      <color rgb="FF1F3864"/>
      <name val="DejaVu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F99"/>
        <bgColor rgb="FFFFFF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0"/>
  </cols>
  <sheetData>
    <row r="1" customFormat="false" ht="18.75" hidden="false" customHeight="true" outlineLevel="0" collapsed="false">
      <c r="A1" s="2" t="s">
        <v>0</v>
      </c>
      <c r="B1" s="2"/>
      <c r="C1" s="2"/>
      <c r="D1" s="2"/>
    </row>
    <row r="2" customFormat="false" ht="12" hidden="false" customHeight="true" outlineLevel="0" collapsed="false">
      <c r="A2" s="3" t="s">
        <v>1</v>
      </c>
      <c r="B2" s="3"/>
      <c r="C2" s="3"/>
      <c r="D2" s="3"/>
    </row>
    <row r="4" customFormat="false" ht="14.2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n">
        <f aca="false">전체비용!C4</f>
        <v>8289</v>
      </c>
    </row>
    <row r="6" customFormat="false" ht="15" hidden="false" customHeight="true" outlineLevel="0" collapsed="false">
      <c r="A6" s="5" t="s">
        <v>4</v>
      </c>
      <c r="B6" s="6" t="n">
        <f aca="false">전체비용!C5+전체비용!C6</f>
        <v>14.3636572265625</v>
      </c>
    </row>
    <row r="7" customFormat="false" ht="15" hidden="false" customHeight="true" outlineLevel="0" collapsed="false">
      <c r="A7" s="5" t="s">
        <v>5</v>
      </c>
      <c r="B7" s="6" t="n">
        <f aca="false">전체비용!C7</f>
        <v>16250</v>
      </c>
    </row>
    <row r="8" customFormat="false" ht="15" hidden="false" customHeight="true" outlineLevel="0" collapsed="false">
      <c r="A8" s="7" t="s">
        <v>6</v>
      </c>
      <c r="B8" s="8" t="n">
        <f aca="false">전체비용!C8</f>
        <v>24553.3636572266</v>
      </c>
    </row>
    <row r="9" customFormat="false" ht="15" hidden="false" customHeight="true" outlineLevel="0" collapsed="false">
      <c r="A9" s="5" t="s">
        <v>7</v>
      </c>
      <c r="B9" s="9" t="n">
        <f aca="false">B8*12</f>
        <v>294640.363886719</v>
      </c>
    </row>
    <row r="10" customFormat="false" ht="15" hidden="false" customHeight="true" outlineLevel="0" collapsed="false">
      <c r="A10" s="5" t="s">
        <v>8</v>
      </c>
      <c r="B10" s="10" t="n">
        <f aca="false">B8/500</f>
        <v>49.1067273144531</v>
      </c>
    </row>
    <row r="12" customFormat="false" ht="15" hidden="false" customHeight="true" outlineLevel="0" collapsed="false">
      <c r="A12" s="4" t="s">
        <v>9</v>
      </c>
      <c r="B12" s="4"/>
      <c r="C12" s="4"/>
      <c r="D12" s="4"/>
    </row>
    <row r="13" customFormat="false" ht="15" hidden="false" customHeight="true" outlineLevel="0" collapsed="false">
      <c r="A13" s="11" t="s">
        <v>10</v>
      </c>
      <c r="B13" s="6" t="n">
        <f aca="false">전체비용!B8</f>
        <v>17910.6727314453</v>
      </c>
    </row>
    <row r="14" customFormat="false" ht="15" hidden="false" customHeight="true" outlineLevel="0" collapsed="false">
      <c r="A14" s="11" t="s">
        <v>11</v>
      </c>
      <c r="B14" s="6" t="n">
        <f aca="false">전체비용!C8</f>
        <v>24553.3636572266</v>
      </c>
    </row>
    <row r="15" customFormat="false" ht="15" hidden="false" customHeight="true" outlineLevel="0" collapsed="false">
      <c r="A15" s="11" t="s">
        <v>12</v>
      </c>
      <c r="B15" s="6" t="n">
        <f aca="false">전체비용!D8</f>
        <v>78504.1674291992</v>
      </c>
    </row>
    <row r="16" customFormat="false" ht="15" hidden="false" customHeight="true" outlineLevel="0" collapsed="false">
      <c r="A16" s="11" t="s">
        <v>13</v>
      </c>
      <c r="B16" s="6" t="n">
        <f aca="false">전체비용!E8</f>
        <v>99283.6365722656</v>
      </c>
    </row>
    <row r="17" customFormat="false" ht="15" hidden="false" customHeight="true" outlineLevel="0" collapsed="false">
      <c r="A17" s="11" t="s">
        <v>14</v>
      </c>
      <c r="B17" s="6" t="n">
        <f aca="false">전체비용!F8</f>
        <v>638791.674291992</v>
      </c>
    </row>
    <row r="19" customFormat="false" ht="15" hidden="false" customHeight="true" outlineLevel="0" collapsed="false">
      <c r="A19" s="4" t="s">
        <v>15</v>
      </c>
      <c r="B19" s="4"/>
      <c r="C19" s="4"/>
      <c r="D19" s="4"/>
    </row>
    <row r="20" customFormat="false" ht="15" hidden="false" customHeight="true" outlineLevel="0" collapsed="false">
      <c r="A20" s="5" t="s">
        <v>16</v>
      </c>
      <c r="B20" s="6" t="n">
        <f aca="false">LLM비용!B13</f>
        <v>10057.5</v>
      </c>
    </row>
    <row r="22" customFormat="false" ht="14.25" hidden="false" customHeight="true" outlineLevel="0" collapsed="false">
      <c r="A22" s="4" t="s">
        <v>17</v>
      </c>
      <c r="B22" s="4"/>
      <c r="C22" s="4"/>
      <c r="D22" s="4"/>
    </row>
    <row r="23" customFormat="false" ht="15" hidden="false" customHeight="true" outlineLevel="0" collapsed="false">
      <c r="A23" s="5" t="s">
        <v>18</v>
      </c>
      <c r="B23" s="6" t="n">
        <f aca="false">전제조건!$B$32*전제조건!$B$33</f>
        <v>150000</v>
      </c>
    </row>
    <row r="24" customFormat="false" ht="15" hidden="false" customHeight="true" outlineLevel="0" collapsed="false">
      <c r="A24" s="5" t="s">
        <v>19</v>
      </c>
      <c r="B24" s="6" t="n">
        <f aca="false">전제조건!$B$32*전제조건!$B$33*(1-전제조건!$B$34)*(1-전제조건!$B$35)</f>
        <v>48750</v>
      </c>
    </row>
    <row r="25" customFormat="false" ht="15" hidden="false" customHeight="true" outlineLevel="0" collapsed="false">
      <c r="A25" s="12" t="s">
        <v>20</v>
      </c>
      <c r="B25" s="12"/>
      <c r="C25" s="12"/>
      <c r="D25" s="12"/>
    </row>
    <row r="27" customFormat="false" ht="15" hidden="false" customHeight="true" outlineLevel="0" collapsed="false">
      <c r="A27" s="4" t="s">
        <v>21</v>
      </c>
      <c r="B27" s="4"/>
      <c r="C27" s="4"/>
      <c r="D27" s="4"/>
    </row>
    <row r="28" customFormat="false" ht="15" hidden="false" customHeight="true" outlineLevel="0" collapsed="false">
      <c r="A28" s="13" t="s">
        <v>22</v>
      </c>
      <c r="B28" s="13"/>
      <c r="C28" s="13"/>
      <c r="D28" s="13"/>
    </row>
    <row r="29" customFormat="false" ht="15" hidden="false" customHeight="true" outlineLevel="0" collapsed="false">
      <c r="A29" s="13" t="s">
        <v>23</v>
      </c>
      <c r="B29" s="13"/>
      <c r="C29" s="13"/>
      <c r="D29" s="13"/>
    </row>
    <row r="30" customFormat="false" ht="15" hidden="false" customHeight="true" outlineLevel="0" collapsed="false">
      <c r="A30" s="14" t="s">
        <v>24</v>
      </c>
      <c r="B30" s="14"/>
      <c r="C30" s="14"/>
      <c r="D30" s="14"/>
    </row>
    <row r="31" customFormat="false" ht="15" hidden="false" customHeight="true" outlineLevel="0" collapsed="false">
      <c r="A31" s="13" t="s">
        <v>25</v>
      </c>
      <c r="B31" s="13"/>
      <c r="C31" s="13"/>
      <c r="D31" s="13"/>
    </row>
    <row r="32" customFormat="false" ht="15" hidden="false" customHeight="true" outlineLevel="0" collapsed="false">
      <c r="A32" s="13" t="s">
        <v>26</v>
      </c>
      <c r="B32" s="13"/>
      <c r="C32" s="13"/>
      <c r="D32" s="13"/>
    </row>
    <row r="33" customFormat="false" ht="15" hidden="false" customHeight="true" outlineLevel="0" collapsed="false">
      <c r="A33" s="13" t="s">
        <v>27</v>
      </c>
      <c r="B33" s="13"/>
      <c r="C33" s="13"/>
      <c r="D33" s="13"/>
    </row>
    <row r="34" customFormat="false" ht="15" hidden="false" customHeight="true" outlineLevel="0" collapsed="false">
      <c r="A34" s="14" t="s">
        <v>28</v>
      </c>
      <c r="B34" s="14"/>
      <c r="C34" s="14"/>
      <c r="D34" s="14"/>
    </row>
  </sheetData>
  <mergeCells count="15">
    <mergeCell ref="A1:D1"/>
    <mergeCell ref="A2:D2"/>
    <mergeCell ref="A4:D4"/>
    <mergeCell ref="A12:D12"/>
    <mergeCell ref="A19:D19"/>
    <mergeCell ref="A22:D22"/>
    <mergeCell ref="A25:D25"/>
    <mergeCell ref="A27:D27"/>
    <mergeCell ref="A28:D28"/>
    <mergeCell ref="A29:D29"/>
    <mergeCell ref="A30:D30"/>
    <mergeCell ref="A31:D31"/>
    <mergeCell ref="A32:D32"/>
    <mergeCell ref="A33:D3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8"/>
  </cols>
  <sheetData>
    <row r="1" customFormat="false" ht="24" hidden="false" customHeight="true" outlineLevel="0" collapsed="false">
      <c r="A1" s="15" t="s">
        <v>29</v>
      </c>
      <c r="B1" s="15"/>
      <c r="C1" s="15"/>
      <c r="D1" s="15"/>
    </row>
    <row r="2" customFormat="false" ht="12" hidden="false" customHeight="true" outlineLevel="0" collapsed="false">
      <c r="A2" s="3" t="s">
        <v>30</v>
      </c>
      <c r="B2" s="3"/>
      <c r="C2" s="3"/>
      <c r="D2" s="3"/>
    </row>
    <row r="4" customFormat="false" ht="14.25" hidden="false" customHeight="true" outlineLevel="0" collapsed="false">
      <c r="A4" s="16" t="s">
        <v>31</v>
      </c>
      <c r="B4" s="16"/>
      <c r="C4" s="16"/>
      <c r="D4" s="16"/>
    </row>
    <row r="5" customFormat="false" ht="15" hidden="false" customHeight="true" outlineLevel="0" collapsed="false">
      <c r="A5" s="17" t="s">
        <v>32</v>
      </c>
      <c r="B5" s="18" t="n">
        <v>1350</v>
      </c>
      <c r="C5" s="17" t="s">
        <v>33</v>
      </c>
      <c r="D5" s="19" t="s">
        <v>34</v>
      </c>
    </row>
    <row r="6" customFormat="false" ht="15" hidden="false" customHeight="true" outlineLevel="0" collapsed="false">
      <c r="A6" s="20" t="s">
        <v>35</v>
      </c>
      <c r="B6" s="21" t="n">
        <v>1</v>
      </c>
      <c r="C6" s="20" t="s">
        <v>36</v>
      </c>
      <c r="D6" s="22" t="s">
        <v>37</v>
      </c>
    </row>
    <row r="7" customFormat="false" ht="15" hidden="false" customHeight="true" outlineLevel="0" collapsed="false">
      <c r="A7" s="20" t="s">
        <v>38</v>
      </c>
      <c r="B7" s="21" t="n">
        <v>5</v>
      </c>
      <c r="C7" s="20" t="s">
        <v>36</v>
      </c>
      <c r="D7" s="22" t="s">
        <v>37</v>
      </c>
    </row>
    <row r="8" customFormat="false" ht="15" hidden="false" customHeight="true" outlineLevel="0" collapsed="false">
      <c r="A8" s="20" t="s">
        <v>39</v>
      </c>
      <c r="B8" s="21" t="n">
        <v>0.3</v>
      </c>
      <c r="C8" s="20" t="s">
        <v>36</v>
      </c>
      <c r="D8" s="22" t="s">
        <v>40</v>
      </c>
    </row>
    <row r="9" customFormat="false" ht="15" hidden="false" customHeight="true" outlineLevel="0" collapsed="false">
      <c r="A9" s="20" t="s">
        <v>41</v>
      </c>
      <c r="B9" s="21" t="n">
        <v>2.5</v>
      </c>
      <c r="C9" s="20" t="s">
        <v>36</v>
      </c>
      <c r="D9" s="22" t="s">
        <v>40</v>
      </c>
    </row>
    <row r="10" customFormat="false" ht="15" hidden="false" customHeight="true" outlineLevel="0" collapsed="false">
      <c r="A10" s="17" t="s">
        <v>42</v>
      </c>
      <c r="B10" s="18" t="n">
        <v>2</v>
      </c>
      <c r="C10" s="17"/>
      <c r="D10" s="22" t="s">
        <v>43</v>
      </c>
    </row>
    <row r="12" customFormat="false" ht="14.25" hidden="false" customHeight="true" outlineLevel="0" collapsed="false">
      <c r="A12" s="16" t="s">
        <v>44</v>
      </c>
      <c r="B12" s="16"/>
      <c r="C12" s="16"/>
      <c r="D12" s="16"/>
    </row>
    <row r="13" customFormat="false" ht="15" hidden="false" customHeight="true" outlineLevel="0" collapsed="false">
      <c r="A13" s="17" t="s">
        <v>45</v>
      </c>
      <c r="B13" s="18" t="n">
        <v>4000</v>
      </c>
      <c r="C13" s="17" t="s">
        <v>46</v>
      </c>
      <c r="D13" s="22" t="s">
        <v>47</v>
      </c>
    </row>
    <row r="14" customFormat="false" ht="15" hidden="false" customHeight="true" outlineLevel="0" collapsed="false">
      <c r="A14" s="17" t="s">
        <v>48</v>
      </c>
      <c r="B14" s="18" t="n">
        <v>2500</v>
      </c>
      <c r="C14" s="17" t="s">
        <v>46</v>
      </c>
      <c r="D14" s="19" t="s">
        <v>49</v>
      </c>
    </row>
    <row r="15" customFormat="false" ht="15" hidden="false" customHeight="true" outlineLevel="0" collapsed="false">
      <c r="A15" s="17" t="s">
        <v>50</v>
      </c>
      <c r="B15" s="18" t="n">
        <v>1000</v>
      </c>
      <c r="C15" s="17" t="s">
        <v>51</v>
      </c>
      <c r="D15" s="19" t="s">
        <v>52</v>
      </c>
    </row>
    <row r="16" customFormat="false" ht="15" hidden="false" customHeight="true" outlineLevel="0" collapsed="false">
      <c r="A16" s="17" t="s">
        <v>53</v>
      </c>
      <c r="B16" s="18" t="n">
        <v>800</v>
      </c>
      <c r="C16" s="17" t="s">
        <v>46</v>
      </c>
      <c r="D16" s="22" t="s">
        <v>54</v>
      </c>
    </row>
    <row r="17" customFormat="false" ht="15" hidden="false" customHeight="true" outlineLevel="0" collapsed="false">
      <c r="A17" s="17" t="s">
        <v>55</v>
      </c>
      <c r="B17" s="18" t="n">
        <v>400</v>
      </c>
      <c r="C17" s="17" t="s">
        <v>46</v>
      </c>
      <c r="D17" s="19" t="s">
        <v>56</v>
      </c>
    </row>
    <row r="18" customFormat="false" ht="15" hidden="false" customHeight="true" outlineLevel="0" collapsed="false">
      <c r="A18" s="17" t="s">
        <v>57</v>
      </c>
      <c r="B18" s="18" t="n">
        <v>600</v>
      </c>
      <c r="C18" s="17" t="s">
        <v>46</v>
      </c>
      <c r="D18" s="22" t="s">
        <v>58</v>
      </c>
    </row>
    <row r="19" customFormat="false" ht="15" hidden="false" customHeight="true" outlineLevel="0" collapsed="false">
      <c r="A19" s="17" t="s">
        <v>59</v>
      </c>
      <c r="B19" s="18" t="n">
        <v>200</v>
      </c>
      <c r="C19" s="17" t="s">
        <v>46</v>
      </c>
      <c r="D19" s="22" t="s">
        <v>60</v>
      </c>
    </row>
    <row r="20" customFormat="false" ht="15" hidden="false" customHeight="true" outlineLevel="0" collapsed="false">
      <c r="A20" s="17" t="s">
        <v>61</v>
      </c>
      <c r="B20" s="18" t="n">
        <v>500</v>
      </c>
      <c r="C20" s="17" t="s">
        <v>46</v>
      </c>
      <c r="D20" s="22" t="s">
        <v>62</v>
      </c>
    </row>
    <row r="21" customFormat="false" ht="15" hidden="false" customHeight="true" outlineLevel="0" collapsed="false">
      <c r="A21" s="17" t="s">
        <v>63</v>
      </c>
      <c r="B21" s="18" t="n">
        <v>400</v>
      </c>
      <c r="C21" s="17" t="s">
        <v>46</v>
      </c>
      <c r="D21" s="22" t="s">
        <v>64</v>
      </c>
    </row>
    <row r="23" customFormat="false" ht="14.25" hidden="false" customHeight="true" outlineLevel="0" collapsed="false">
      <c r="A23" s="16" t="s">
        <v>65</v>
      </c>
      <c r="B23" s="16"/>
      <c r="C23" s="16"/>
      <c r="D23" s="16"/>
    </row>
    <row r="24" customFormat="false" ht="15" hidden="false" customHeight="true" outlineLevel="0" collapsed="false">
      <c r="A24" s="17" t="s">
        <v>66</v>
      </c>
      <c r="B24" s="18" t="n">
        <v>8</v>
      </c>
      <c r="C24" s="20" t="s">
        <v>67</v>
      </c>
      <c r="D24" s="19" t="s">
        <v>68</v>
      </c>
    </row>
    <row r="25" customFormat="false" ht="15" hidden="false" customHeight="true" outlineLevel="0" collapsed="false">
      <c r="A25" s="17" t="s">
        <v>69</v>
      </c>
      <c r="B25" s="18" t="n">
        <v>90</v>
      </c>
      <c r="C25" s="17" t="s">
        <v>70</v>
      </c>
      <c r="D25" s="22" t="s">
        <v>71</v>
      </c>
    </row>
    <row r="26" customFormat="false" ht="15" hidden="false" customHeight="true" outlineLevel="0" collapsed="false">
      <c r="A26" s="20" t="s">
        <v>72</v>
      </c>
      <c r="B26" s="21" t="n">
        <v>0.18</v>
      </c>
      <c r="C26" s="20" t="s">
        <v>73</v>
      </c>
      <c r="D26" s="22" t="s">
        <v>74</v>
      </c>
    </row>
    <row r="27" customFormat="false" ht="15" hidden="false" customHeight="true" outlineLevel="0" collapsed="false">
      <c r="A27" s="20" t="s">
        <v>75</v>
      </c>
      <c r="B27" s="21" t="n">
        <v>0.06</v>
      </c>
      <c r="C27" s="20" t="s">
        <v>76</v>
      </c>
      <c r="D27" s="22" t="s">
        <v>74</v>
      </c>
    </row>
    <row r="28" customFormat="false" ht="15" hidden="false" customHeight="true" outlineLevel="0" collapsed="false">
      <c r="A28" s="17" t="s">
        <v>77</v>
      </c>
      <c r="B28" s="18" t="n">
        <v>8</v>
      </c>
      <c r="C28" s="17" t="s">
        <v>78</v>
      </c>
      <c r="D28" s="22" t="s">
        <v>79</v>
      </c>
    </row>
    <row r="30" customFormat="false" ht="14.25" hidden="false" customHeight="true" outlineLevel="0" collapsed="false">
      <c r="A30" s="16" t="s">
        <v>80</v>
      </c>
      <c r="B30" s="16"/>
      <c r="C30" s="16"/>
      <c r="D30" s="16"/>
    </row>
    <row r="31" customFormat="false" ht="15" hidden="false" customHeight="true" outlineLevel="0" collapsed="false">
      <c r="A31" s="17" t="s">
        <v>81</v>
      </c>
      <c r="B31" s="18" t="n">
        <v>3</v>
      </c>
      <c r="C31" s="17" t="s">
        <v>82</v>
      </c>
      <c r="D31" s="22" t="s">
        <v>83</v>
      </c>
    </row>
    <row r="32" customFormat="false" ht="15" hidden="false" customHeight="true" outlineLevel="0" collapsed="false">
      <c r="A32" s="17" t="s">
        <v>84</v>
      </c>
      <c r="B32" s="18" t="n">
        <v>10</v>
      </c>
      <c r="C32" s="17" t="s">
        <v>85</v>
      </c>
      <c r="D32" s="19" t="s">
        <v>86</v>
      </c>
    </row>
    <row r="33" customFormat="false" ht="15" hidden="false" customHeight="true" outlineLevel="0" collapsed="false">
      <c r="A33" s="17" t="s">
        <v>87</v>
      </c>
      <c r="B33" s="23" t="n">
        <v>15000</v>
      </c>
      <c r="C33" s="17" t="s">
        <v>88</v>
      </c>
      <c r="D33" s="22" t="s">
        <v>89</v>
      </c>
    </row>
    <row r="34" customFormat="false" ht="15" hidden="false" customHeight="true" outlineLevel="0" collapsed="false">
      <c r="A34" s="17" t="s">
        <v>90</v>
      </c>
      <c r="B34" s="24" t="n">
        <v>0.35</v>
      </c>
      <c r="C34" s="17"/>
      <c r="D34" s="22" t="s">
        <v>91</v>
      </c>
    </row>
    <row r="35" customFormat="false" ht="15" hidden="false" customHeight="true" outlineLevel="0" collapsed="false">
      <c r="A35" s="17" t="s">
        <v>92</v>
      </c>
      <c r="B35" s="24" t="n">
        <v>0.5</v>
      </c>
      <c r="C35" s="17"/>
      <c r="D35" s="22" t="s">
        <v>93</v>
      </c>
    </row>
    <row r="37" customFormat="false" ht="14.25" hidden="false" customHeight="true" outlineLevel="0" collapsed="false">
      <c r="A37" s="16" t="s">
        <v>94</v>
      </c>
      <c r="B37" s="16"/>
      <c r="C37" s="16"/>
      <c r="D37" s="16"/>
    </row>
    <row r="38" customFormat="false" ht="15" hidden="false" customHeight="true" outlineLevel="0" collapsed="false">
      <c r="A38" s="17" t="s">
        <v>95</v>
      </c>
      <c r="B38" s="24" t="n">
        <v>0.05</v>
      </c>
      <c r="C38" s="17"/>
      <c r="D38" s="22" t="s">
        <v>96</v>
      </c>
    </row>
    <row r="39" customFormat="false" ht="15" hidden="false" customHeight="true" outlineLevel="0" collapsed="false">
      <c r="A39" s="17" t="s">
        <v>97</v>
      </c>
      <c r="B39" s="23" t="n">
        <v>4900</v>
      </c>
      <c r="C39" s="17" t="s">
        <v>88</v>
      </c>
      <c r="D39" s="22" t="s">
        <v>98</v>
      </c>
    </row>
    <row r="40" customFormat="false" ht="15" hidden="false" customHeight="true" outlineLevel="0" collapsed="false">
      <c r="A40" s="17" t="s">
        <v>99</v>
      </c>
      <c r="B40" s="24" t="n">
        <v>0.3</v>
      </c>
      <c r="C40" s="17"/>
      <c r="D40" s="22" t="s">
        <v>100</v>
      </c>
    </row>
  </sheetData>
  <mergeCells count="7">
    <mergeCell ref="A1:D1"/>
    <mergeCell ref="A2:D2"/>
    <mergeCell ref="A4:D4"/>
    <mergeCell ref="A12:D12"/>
    <mergeCell ref="A23:D23"/>
    <mergeCell ref="A30:D30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9"/>
  </cols>
  <sheetData>
    <row r="1" customFormat="false" ht="18.75" hidden="false" customHeight="true" outlineLevel="0" collapsed="false">
      <c r="A1" s="15" t="s">
        <v>101</v>
      </c>
      <c r="B1" s="15"/>
      <c r="C1" s="15"/>
      <c r="D1" s="15"/>
      <c r="E1" s="15"/>
      <c r="F1" s="15"/>
      <c r="G1" s="15"/>
    </row>
    <row r="3" customFormat="false" ht="14.25" hidden="false" customHeight="true" outlineLevel="0" collapsed="false">
      <c r="A3" s="16" t="s">
        <v>102</v>
      </c>
      <c r="B3" s="16"/>
      <c r="C3" s="16"/>
      <c r="D3" s="16"/>
      <c r="E3" s="16"/>
      <c r="F3" s="16"/>
      <c r="G3" s="16"/>
    </row>
    <row r="4" customFormat="false" ht="15" hidden="false" customHeight="true" outlineLevel="0" collapsed="false">
      <c r="A4" s="5" t="s">
        <v>103</v>
      </c>
      <c r="B4" s="25" t="n">
        <f aca="false">IF(전제조건!$B$10=1,전제조건!$B$6,전제조건!$B$8)</f>
        <v>0.3</v>
      </c>
    </row>
    <row r="5" customFormat="false" ht="15" hidden="false" customHeight="true" outlineLevel="0" collapsed="false">
      <c r="A5" s="5" t="s">
        <v>104</v>
      </c>
      <c r="B5" s="25" t="n">
        <f aca="false">IF(전제조건!$B$10=1,전제조건!$B$7,전제조건!$B$9)</f>
        <v>2.5</v>
      </c>
    </row>
    <row r="6" customFormat="false" ht="15" hidden="false" customHeight="true" outlineLevel="0" collapsed="false">
      <c r="A6" s="5" t="s">
        <v>105</v>
      </c>
      <c r="B6" s="26" t="n">
        <f aca="false">전제조건!$B$16+전제조건!$B$18+전제조건!$B$20</f>
        <v>1900</v>
      </c>
    </row>
    <row r="7" customFormat="false" ht="15" hidden="false" customHeight="true" outlineLevel="0" collapsed="false">
      <c r="A7" s="5" t="s">
        <v>106</v>
      </c>
      <c r="B7" s="26" t="n">
        <f aca="false">전제조건!$B$17+전제조건!$B$19+전제조건!$B$21</f>
        <v>1000</v>
      </c>
    </row>
    <row r="8" customFormat="false" ht="15" hidden="false" customHeight="true" outlineLevel="0" collapsed="false">
      <c r="A8" s="5" t="s">
        <v>107</v>
      </c>
      <c r="B8" s="27" t="n">
        <f aca="false">(B4*B6/1000000)+(B5*B7/1000000)</f>
        <v>0.00307</v>
      </c>
    </row>
    <row r="9" customFormat="false" ht="15" hidden="false" customHeight="true" outlineLevel="0" collapsed="false">
      <c r="A9" s="5" t="s">
        <v>108</v>
      </c>
      <c r="B9" s="28" t="n">
        <f aca="false">B8*전제조건!$B$5</f>
        <v>4.1445</v>
      </c>
    </row>
    <row r="11" customFormat="false" ht="14.25" hidden="false" customHeight="true" outlineLevel="0" collapsed="false">
      <c r="A11" s="16" t="s">
        <v>109</v>
      </c>
      <c r="B11" s="16"/>
      <c r="C11" s="16"/>
      <c r="D11" s="16"/>
      <c r="E11" s="16"/>
      <c r="F11" s="16"/>
      <c r="G11" s="16"/>
    </row>
    <row r="12" customFormat="false" ht="15" hidden="false" customHeight="true" outlineLevel="0" collapsed="false">
      <c r="A12" s="5" t="s">
        <v>110</v>
      </c>
      <c r="B12" s="27" t="n">
        <f aca="false">(B4*전제조건!$B$13/1000000 + B5*전제조건!$B$14/1000000)*전제조건!$B$15</f>
        <v>7.45</v>
      </c>
    </row>
    <row r="13" customFormat="false" ht="15" hidden="false" customHeight="true" outlineLevel="0" collapsed="false">
      <c r="A13" s="5" t="s">
        <v>111</v>
      </c>
      <c r="B13" s="29" t="n">
        <f aca="false">B12*전제조건!$B$5</f>
        <v>10057.5</v>
      </c>
    </row>
    <row r="15" customFormat="false" ht="14.25" hidden="false" customHeight="true" outlineLevel="0" collapsed="false">
      <c r="A15" s="16" t="s">
        <v>112</v>
      </c>
      <c r="B15" s="16"/>
      <c r="C15" s="16"/>
      <c r="D15" s="16"/>
      <c r="E15" s="16"/>
      <c r="F15" s="16"/>
      <c r="G15" s="16"/>
    </row>
    <row r="16" customFormat="false" ht="15" hidden="false" customHeight="true" outlineLevel="0" collapsed="false">
      <c r="A16" s="30" t="s">
        <v>113</v>
      </c>
      <c r="B16" s="30" t="s">
        <v>114</v>
      </c>
      <c r="C16" s="31" t="s">
        <v>115</v>
      </c>
      <c r="D16" s="30" t="s">
        <v>116</v>
      </c>
      <c r="E16" s="30" t="s">
        <v>117</v>
      </c>
      <c r="F16" s="30" t="s">
        <v>118</v>
      </c>
    </row>
    <row r="17" customFormat="false" ht="15" hidden="false" customHeight="true" outlineLevel="0" collapsed="false">
      <c r="A17" s="32" t="n">
        <v>100</v>
      </c>
      <c r="B17" s="33" t="n">
        <f aca="false">$A17*30*$B$9</f>
        <v>12433.5</v>
      </c>
      <c r="C17" s="33" t="n">
        <f aca="false">$A17*10*$B$9</f>
        <v>4144.5</v>
      </c>
      <c r="D17" s="33" t="n">
        <f aca="false">$A17*4*$B$9</f>
        <v>1657.8</v>
      </c>
      <c r="E17" s="33" t="n">
        <f aca="false">$A17*2*$B$9</f>
        <v>828.9</v>
      </c>
      <c r="F17" s="33" t="n">
        <f aca="false">$A17*1*$B$9</f>
        <v>414.45</v>
      </c>
    </row>
    <row r="18" customFormat="false" ht="15" hidden="false" customHeight="true" outlineLevel="0" collapsed="false">
      <c r="A18" s="32" t="n">
        <v>500</v>
      </c>
      <c r="B18" s="33" t="n">
        <f aca="false">$A18*30*$B$9</f>
        <v>62167.5</v>
      </c>
      <c r="C18" s="33" t="n">
        <f aca="false">$A18*10*$B$9</f>
        <v>20722.5</v>
      </c>
      <c r="D18" s="33" t="n">
        <f aca="false">$A18*4*$B$9</f>
        <v>8289</v>
      </c>
      <c r="E18" s="33" t="n">
        <f aca="false">$A18*2*$B$9</f>
        <v>4144.5</v>
      </c>
      <c r="F18" s="33" t="n">
        <f aca="false">$A18*1*$B$9</f>
        <v>2072.25</v>
      </c>
    </row>
    <row r="19" customFormat="false" ht="15" hidden="false" customHeight="true" outlineLevel="0" collapsed="false">
      <c r="A19" s="32" t="n">
        <v>1000</v>
      </c>
      <c r="B19" s="33" t="n">
        <f aca="false">$A19*30*$B$9</f>
        <v>124335</v>
      </c>
      <c r="C19" s="33" t="n">
        <f aca="false">$A19*10*$B$9</f>
        <v>41445</v>
      </c>
      <c r="D19" s="33" t="n">
        <f aca="false">$A19*4*$B$9</f>
        <v>16578</v>
      </c>
      <c r="E19" s="33" t="n">
        <f aca="false">$A19*2*$B$9</f>
        <v>8289</v>
      </c>
      <c r="F19" s="33" t="n">
        <f aca="false">$A19*1*$B$9</f>
        <v>4144.5</v>
      </c>
    </row>
    <row r="20" customFormat="false" ht="15" hidden="false" customHeight="true" outlineLevel="0" collapsed="false">
      <c r="A20" s="32" t="n">
        <v>3000</v>
      </c>
      <c r="B20" s="33" t="n">
        <f aca="false">$A20*30*$B$9</f>
        <v>373005</v>
      </c>
      <c r="C20" s="33" t="n">
        <f aca="false">$A20*10*$B$9</f>
        <v>124335</v>
      </c>
      <c r="D20" s="33" t="n">
        <f aca="false">$A20*4*$B$9</f>
        <v>49734</v>
      </c>
      <c r="E20" s="33" t="n">
        <f aca="false">$A20*2*$B$9</f>
        <v>24867</v>
      </c>
      <c r="F20" s="33" t="n">
        <f aca="false">$A20*1*$B$9</f>
        <v>12433.5</v>
      </c>
    </row>
    <row r="21" customFormat="false" ht="15" hidden="false" customHeight="true" outlineLevel="0" collapsed="false">
      <c r="A21" s="32" t="n">
        <v>5000</v>
      </c>
      <c r="B21" s="33" t="n">
        <f aca="false">$A21*30*$B$9</f>
        <v>621675</v>
      </c>
      <c r="C21" s="33" t="n">
        <f aca="false">$A21*10*$B$9</f>
        <v>207225</v>
      </c>
      <c r="D21" s="33" t="n">
        <f aca="false">$A21*4*$B$9</f>
        <v>82890</v>
      </c>
      <c r="E21" s="33" t="n">
        <f aca="false">$A21*2*$B$9</f>
        <v>41445</v>
      </c>
      <c r="F21" s="33" t="n">
        <f aca="false">$A21*1*$B$9</f>
        <v>20722.5</v>
      </c>
    </row>
    <row r="22" customFormat="false" ht="15" hidden="false" customHeight="true" outlineLevel="0" collapsed="false">
      <c r="A22" s="32" t="n">
        <v>10000</v>
      </c>
      <c r="B22" s="33" t="n">
        <f aca="false">$A22*30*$B$9</f>
        <v>1243350</v>
      </c>
      <c r="C22" s="33" t="n">
        <f aca="false">$A22*10*$B$9</f>
        <v>414450</v>
      </c>
      <c r="D22" s="33" t="n">
        <f aca="false">$A22*4*$B$9</f>
        <v>165780</v>
      </c>
      <c r="E22" s="33" t="n">
        <f aca="false">$A22*2*$B$9</f>
        <v>82890</v>
      </c>
      <c r="F22" s="33" t="n">
        <f aca="false">$A22*1*$B$9</f>
        <v>41445</v>
      </c>
    </row>
    <row r="24" customFormat="false" ht="12" hidden="false" customHeight="true" outlineLevel="0" collapsed="false">
      <c r="A24" s="3" t="s">
        <v>119</v>
      </c>
      <c r="B24" s="3"/>
      <c r="C24" s="3"/>
      <c r="D24" s="3"/>
      <c r="E24" s="3"/>
      <c r="F24" s="3"/>
      <c r="G24" s="3"/>
    </row>
    <row r="25" customFormat="false" ht="12" hidden="false" customHeight="true" outlineLevel="0" collapsed="false">
      <c r="A25" s="34" t="s">
        <v>120</v>
      </c>
      <c r="B25" s="34"/>
      <c r="C25" s="34"/>
      <c r="D25" s="34"/>
      <c r="E25" s="34"/>
      <c r="F25" s="34"/>
      <c r="G25" s="34"/>
    </row>
    <row r="26" customFormat="false" ht="12" hidden="false" customHeight="true" outlineLevel="0" collapsed="false">
      <c r="A26" s="3" t="s">
        <v>121</v>
      </c>
      <c r="B26" s="3"/>
      <c r="C26" s="3"/>
      <c r="D26" s="3"/>
      <c r="E26" s="3"/>
      <c r="F26" s="3"/>
      <c r="G26" s="3"/>
    </row>
  </sheetData>
  <mergeCells count="7">
    <mergeCell ref="A1:G1"/>
    <mergeCell ref="A3:G3"/>
    <mergeCell ref="A11:G11"/>
    <mergeCell ref="A15:G15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9"/>
  </cols>
  <sheetData>
    <row r="1" customFormat="false" ht="19.5" hidden="false" customHeight="true" outlineLevel="0" collapsed="false">
      <c r="A1" s="2" t="s">
        <v>122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0" t="s">
        <v>123</v>
      </c>
      <c r="B3" s="31" t="s">
        <v>124</v>
      </c>
      <c r="C3" s="31" t="s">
        <v>125</v>
      </c>
      <c r="D3" s="31" t="s">
        <v>126</v>
      </c>
      <c r="E3" s="31" t="s">
        <v>127</v>
      </c>
      <c r="F3" s="31" t="s">
        <v>128</v>
      </c>
    </row>
    <row r="4" customFormat="false" ht="15" hidden="false" customHeight="true" outlineLevel="0" collapsed="false">
      <c r="A4" s="11" t="s">
        <v>129</v>
      </c>
      <c r="B4" s="6" t="n">
        <f aca="false">100*4*LLM비용!$B$9</f>
        <v>1657.8</v>
      </c>
      <c r="C4" s="6" t="n">
        <f aca="false">500*4*LLM비용!$B$9</f>
        <v>8289</v>
      </c>
      <c r="D4" s="6" t="n">
        <f aca="false">500*30*LLM비용!$B$9</f>
        <v>62167.5</v>
      </c>
      <c r="E4" s="6" t="n">
        <f aca="false">5000*4*LLM비용!$B$9</f>
        <v>82890</v>
      </c>
      <c r="F4" s="6" t="n">
        <f aca="false">5000*30*LLM비용!$B$9</f>
        <v>621675</v>
      </c>
    </row>
    <row r="5" customFormat="false" ht="15" hidden="false" customHeight="true" outlineLevel="0" collapsed="false">
      <c r="A5" s="11" t="s">
        <v>130</v>
      </c>
      <c r="B5" s="6" t="n">
        <f aca="false">(100*4*전제조건!$B$24*전제조건!$B$25/30/1048576)*전제조건!$B$26*전제조건!$B$5</f>
        <v>2.2247314453125</v>
      </c>
      <c r="C5" s="6" t="n">
        <f aca="false">(500*4*전제조건!$B$24*전제조건!$B$25/30/1048576)*전제조건!$B$26*전제조건!$B$5</f>
        <v>11.1236572265625</v>
      </c>
      <c r="D5" s="6" t="n">
        <f aca="false">(500*30*전제조건!$B$24*전제조건!$B$25/30/1048576)*전제조건!$B$26*전제조건!$B$5</f>
        <v>83.4274291992188</v>
      </c>
      <c r="E5" s="6" t="n">
        <f aca="false">(5000*4*전제조건!$B$24*전제조건!$B$25/30/1048576)*전제조건!$B$26*전제조건!$B$5</f>
        <v>111.236572265625</v>
      </c>
      <c r="F5" s="6" t="n">
        <f aca="false">(5000*30*전제조건!$B$24*전제조건!$B$25/30/1048576)*전제조건!$B$26*전제조건!$B$5</f>
        <v>834.274291992188</v>
      </c>
    </row>
    <row r="6" customFormat="false" ht="15" hidden="false" customHeight="true" outlineLevel="0" collapsed="false">
      <c r="A6" s="11" t="s">
        <v>131</v>
      </c>
      <c r="B6" s="6" t="n">
        <f aca="false">(100*전제조건!$B$28/100000)*전제조건!$B$27*전제조건!$B$5</f>
        <v>0.648</v>
      </c>
      <c r="C6" s="6" t="n">
        <f aca="false">(500*전제조건!$B$28/100000)*전제조건!$B$27*전제조건!$B$5</f>
        <v>3.24</v>
      </c>
      <c r="D6" s="6" t="n">
        <f aca="false">(500*전제조건!$B$28/100000)*전제조건!$B$27*전제조건!$B$5</f>
        <v>3.24</v>
      </c>
      <c r="E6" s="6" t="n">
        <f aca="false">(5000*전제조건!$B$28/100000)*전제조건!$B$27*전제조건!$B$5</f>
        <v>32.4</v>
      </c>
      <c r="F6" s="6" t="n">
        <f aca="false">(5000*전제조건!$B$28/100000)*전제조건!$B$27*전제조건!$B$5</f>
        <v>32.4</v>
      </c>
    </row>
    <row r="7" customFormat="false" ht="15" hidden="false" customHeight="true" outlineLevel="0" collapsed="false">
      <c r="A7" s="5" t="s">
        <v>132</v>
      </c>
      <c r="B7" s="6" t="n">
        <f aca="false">(전제조건!$B$32*전제조건!$B$33*(1-전제조건!$B$34)*(1-전제조건!$B$35))/전제조건!$B$31</f>
        <v>16250</v>
      </c>
      <c r="C7" s="6" t="n">
        <f aca="false">(전제조건!$B$32*전제조건!$B$33*(1-전제조건!$B$34)*(1-전제조건!$B$35))/전제조건!$B$31</f>
        <v>16250</v>
      </c>
      <c r="D7" s="6" t="n">
        <f aca="false">(전제조건!$B$32*전제조건!$B$33*(1-전제조건!$B$34)*(1-전제조건!$B$35))/전제조건!$B$31</f>
        <v>16250</v>
      </c>
      <c r="E7" s="6" t="n">
        <f aca="false">(전제조건!$B$32*전제조건!$B$33*(1-전제조건!$B$34)*(1-전제조건!$B$35))/전제조건!$B$31</f>
        <v>16250</v>
      </c>
      <c r="F7" s="6" t="n">
        <f aca="false">(전제조건!$B$32*전제조건!$B$33*(1-전제조건!$B$34)*(1-전제조건!$B$35))/전제조건!$B$31</f>
        <v>16250</v>
      </c>
    </row>
    <row r="8" customFormat="false" ht="15" hidden="false" customHeight="true" outlineLevel="0" collapsed="false">
      <c r="A8" s="7" t="s">
        <v>133</v>
      </c>
      <c r="B8" s="29" t="n">
        <f aca="false">SUM(B4:B7)</f>
        <v>17910.6727314453</v>
      </c>
      <c r="C8" s="29" t="n">
        <f aca="false">SUM(C4:C7)</f>
        <v>24553.3636572266</v>
      </c>
      <c r="D8" s="29" t="n">
        <f aca="false">SUM(D4:D7)</f>
        <v>78504.1674291992</v>
      </c>
      <c r="E8" s="29" t="n">
        <f aca="false">SUM(E4:E7)</f>
        <v>99283.6365722656</v>
      </c>
      <c r="F8" s="29" t="n">
        <f aca="false">SUM(F4:F7)</f>
        <v>638791.674291992</v>
      </c>
    </row>
    <row r="10" customFormat="false" ht="15" hidden="false" customHeight="true" outlineLevel="0" collapsed="false">
      <c r="A10" s="5" t="s">
        <v>8</v>
      </c>
      <c r="B10" s="10" t="n">
        <f aca="false">B8/100</f>
        <v>179.106727314453</v>
      </c>
      <c r="C10" s="10" t="n">
        <f aca="false">C8/500</f>
        <v>49.1067273144531</v>
      </c>
      <c r="D10" s="10" t="n">
        <f aca="false">D8/500</f>
        <v>157.008334858398</v>
      </c>
      <c r="E10" s="10" t="n">
        <f aca="false">E8/5000</f>
        <v>19.8567273144531</v>
      </c>
      <c r="F10" s="10" t="n">
        <f aca="false">F8/5000</f>
        <v>127.758334858398</v>
      </c>
    </row>
    <row r="11" customFormat="false" ht="15" hidden="false" customHeight="true" outlineLevel="0" collapsed="false">
      <c r="A11" s="5" t="s">
        <v>134</v>
      </c>
      <c r="B11" s="9" t="n">
        <f aca="false">B8*12</f>
        <v>214928.072777344</v>
      </c>
      <c r="C11" s="9" t="n">
        <f aca="false">C8*12</f>
        <v>294640.363886719</v>
      </c>
      <c r="D11" s="9" t="n">
        <f aca="false">D8*12</f>
        <v>942050.009150391</v>
      </c>
      <c r="E11" s="9" t="n">
        <f aca="false">E8*12</f>
        <v>1191403.63886719</v>
      </c>
      <c r="F11" s="9" t="n">
        <f aca="false">F8*12</f>
        <v>7665500.09150391</v>
      </c>
    </row>
    <row r="13" customFormat="false" ht="15" hidden="false" customHeight="true" outlineLevel="0" collapsed="false">
      <c r="A13" s="4" t="s">
        <v>135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5" t="s">
        <v>136</v>
      </c>
      <c r="B14" s="26" t="n">
        <f aca="false">100*전제조건!$B$38</f>
        <v>5</v>
      </c>
      <c r="C14" s="26" t="n">
        <f aca="false">500*전제조건!$B$38</f>
        <v>25</v>
      </c>
      <c r="D14" s="26" t="n">
        <f aca="false">500*전제조건!$B$38</f>
        <v>25</v>
      </c>
      <c r="E14" s="26" t="n">
        <f aca="false">5000*전제조건!$B$38</f>
        <v>250</v>
      </c>
      <c r="F14" s="26" t="n">
        <f aca="false">5000*전제조건!$B$38</f>
        <v>250</v>
      </c>
    </row>
    <row r="15" customFormat="false" ht="15" hidden="false" customHeight="true" outlineLevel="0" collapsed="false">
      <c r="A15" s="5" t="s">
        <v>137</v>
      </c>
      <c r="B15" s="6" t="n">
        <f aca="false">B14*전제조건!$B$39*(1-전제조건!$B$40)</f>
        <v>17150</v>
      </c>
      <c r="C15" s="6" t="n">
        <f aca="false">C14*전제조건!$B$39*(1-전제조건!$B$40)</f>
        <v>85750</v>
      </c>
      <c r="D15" s="6" t="n">
        <f aca="false">D14*전제조건!$B$39*(1-전제조건!$B$40)</f>
        <v>85750</v>
      </c>
      <c r="E15" s="6" t="n">
        <f aca="false">E14*전제조건!$B$39*(1-전제조건!$B$40)</f>
        <v>857500</v>
      </c>
      <c r="F15" s="6" t="n">
        <f aca="false">F14*전제조건!$B$39*(1-전제조건!$B$40)</f>
        <v>857500</v>
      </c>
    </row>
    <row r="16" customFormat="false" ht="15" hidden="false" customHeight="true" outlineLevel="0" collapsed="false">
      <c r="A16" s="7" t="s">
        <v>138</v>
      </c>
      <c r="B16" s="29" t="n">
        <f aca="false">B15-B8</f>
        <v>-760.672731445313</v>
      </c>
      <c r="C16" s="29" t="n">
        <f aca="false">C15-C8</f>
        <v>61196.6363427734</v>
      </c>
      <c r="D16" s="29" t="n">
        <f aca="false">D15-D8</f>
        <v>7245.83257080079</v>
      </c>
      <c r="E16" s="29" t="n">
        <f aca="false">E15-E8</f>
        <v>758216.363427734</v>
      </c>
      <c r="F16" s="29" t="n">
        <f aca="false">F15-F8</f>
        <v>218708.325708008</v>
      </c>
    </row>
    <row r="18" customFormat="false" ht="12" hidden="false" customHeight="true" outlineLevel="0" collapsed="false">
      <c r="A18" s="3" t="s">
        <v>139</v>
      </c>
      <c r="B18" s="3"/>
      <c r="C18" s="3"/>
      <c r="D18" s="3"/>
      <c r="E18" s="3"/>
      <c r="F18" s="3"/>
    </row>
    <row r="19" customFormat="false" ht="12" hidden="false" customHeight="true" outlineLevel="0" collapsed="false">
      <c r="A19" s="3" t="s">
        <v>140</v>
      </c>
      <c r="B19" s="3"/>
      <c r="C19" s="3"/>
      <c r="D19" s="3"/>
      <c r="E19" s="3"/>
      <c r="F19" s="3"/>
    </row>
    <row r="20" customFormat="false" ht="12" hidden="false" customHeight="true" outlineLevel="0" collapsed="false">
      <c r="A20" s="3" t="s">
        <v>141</v>
      </c>
      <c r="B20" s="3"/>
      <c r="C20" s="3"/>
      <c r="D20" s="3"/>
      <c r="E20" s="3"/>
      <c r="F20" s="3"/>
    </row>
  </sheetData>
  <mergeCells count="5">
    <mergeCell ref="A1:F1"/>
    <mergeCell ref="A13:F13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2026-04-22T01:32:17Z</dcterms:created>
  <dc:creator>openpyxl</dc:creator>
  <dc:description/>
  <dc:language>en-US</dc:language>
  <cp:lastModifiedBy/>
  <dcterms:modified xsi:type="dcterms:W3CDTF">2026-04-22T01:53:44Z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